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My Folder\EXCEL Practice\Excel-visuals\Dashboards\"/>
    </mc:Choice>
  </mc:AlternateContent>
  <xr:revisionPtr revIDLastSave="0" documentId="13_ncr:1_{B3323E0E-B2B5-46B9-BBFE-3BF18FADB200}" xr6:coauthVersionLast="47" xr6:coauthVersionMax="47" xr10:uidLastSave="{00000000-0000-0000-0000-000000000000}"/>
  <bookViews>
    <workbookView xWindow="-108" yWindow="-108" windowWidth="23256" windowHeight="13896" activeTab="4" xr2:uid="{00000000-000D-0000-FFFF-FFFF00000000}"/>
  </bookViews>
  <sheets>
    <sheet name="Raw Data" sheetId="1" r:id="rId1"/>
    <sheet name="KPI" sheetId="2" r:id="rId2"/>
    <sheet name="Pivot Tables" sheetId="3" r:id="rId3"/>
    <sheet name="Charts" sheetId="4" r:id="rId4"/>
    <sheet name="DashBoard Layout" sheetId="6" r:id="rId5"/>
  </sheets>
  <definedNames>
    <definedName name="NativeTimeline_Disbursement_Date">#N/A</definedName>
    <definedName name="Slicer_City">#N/A</definedName>
    <definedName name="Slicer_Loan_Purpose">#N/A</definedName>
    <definedName name="Slicer_Loan_Status">#N/A</definedName>
  </definedNames>
  <calcPr calcId="191029"/>
  <pivotCaches>
    <pivotCache cacheId="14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2" l="1"/>
  <c r="G36" i="2"/>
  <c r="F36" i="2"/>
  <c r="E36" i="2"/>
  <c r="D36" i="2"/>
  <c r="C36" i="2"/>
  <c r="B36" i="2"/>
  <c r="G30" i="2"/>
  <c r="F30" i="2"/>
  <c r="E30" i="2"/>
  <c r="D30" i="2"/>
  <c r="C30" i="2"/>
  <c r="B30" i="2"/>
  <c r="F23" i="2"/>
  <c r="E23" i="2"/>
  <c r="D23" i="2"/>
  <c r="C23" i="2"/>
  <c r="B23" i="2"/>
  <c r="A23" i="2"/>
  <c r="E40" i="2"/>
  <c r="D40" i="2"/>
  <c r="F40" i="2"/>
  <c r="B40" i="2"/>
  <c r="C40"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2" i="1"/>
  <c r="B17" i="2"/>
  <c r="C17" i="2" s="1"/>
  <c r="B16" i="2"/>
  <c r="C16" i="2" s="1"/>
  <c r="B15" i="2"/>
  <c r="C15" i="2" s="1"/>
  <c r="B14" i="2"/>
  <c r="C14" i="2" s="1"/>
  <c r="B13" i="2"/>
  <c r="C13" i="2" s="1"/>
  <c r="B12" i="2"/>
  <c r="C12" i="2" s="1"/>
  <c r="B11" i="2"/>
  <c r="C11" i="2" s="1"/>
  <c r="B10" i="2"/>
  <c r="C10" i="2" s="1"/>
  <c r="B9" i="2"/>
  <c r="C9" i="2" s="1"/>
  <c r="B8" i="2"/>
  <c r="C8" i="2" s="1"/>
  <c r="B6" i="2"/>
  <c r="C6" i="2" s="1"/>
  <c r="B7" i="2"/>
  <c r="C7" i="2" s="1"/>
  <c r="B5" i="2"/>
  <c r="C5" i="2" s="1"/>
  <c r="B4" i="2"/>
  <c r="C4" i="2" s="1"/>
  <c r="B3" i="2"/>
  <c r="C3" i="2" s="1"/>
  <c r="B2" i="2"/>
  <c r="C2" i="2" s="1"/>
</calcChain>
</file>

<file path=xl/sharedStrings.xml><?xml version="1.0" encoding="utf-8"?>
<sst xmlns="http://schemas.openxmlformats.org/spreadsheetml/2006/main" count="4895" uniqueCount="1305">
  <si>
    <t>Loan_ID</t>
  </si>
  <si>
    <t>Customer_ID</t>
  </si>
  <si>
    <t>Age</t>
  </si>
  <si>
    <t>Gender</t>
  </si>
  <si>
    <t>City</t>
  </si>
  <si>
    <t>Employment_Type</t>
  </si>
  <si>
    <t>Monthly_Income</t>
  </si>
  <si>
    <t>Loan_Amount</t>
  </si>
  <si>
    <t>Loan_Tenure_Months</t>
  </si>
  <si>
    <t>Interest_Rate</t>
  </si>
  <si>
    <t>EMI_Amount</t>
  </si>
  <si>
    <t>Loan_Purpose</t>
  </si>
  <si>
    <t>Loan_Status</t>
  </si>
  <si>
    <t>Disbursement_Date</t>
  </si>
  <si>
    <t>Closure_Date</t>
  </si>
  <si>
    <t>Days_to_Close</t>
  </si>
  <si>
    <t>Credit_Score</t>
  </si>
  <si>
    <t>DPD_30</t>
  </si>
  <si>
    <t>Recovery_Amount</t>
  </si>
  <si>
    <t>LN0001</t>
  </si>
  <si>
    <t>CU2824</t>
  </si>
  <si>
    <t>Female</t>
  </si>
  <si>
    <t>Mumbai</t>
  </si>
  <si>
    <t>Salaried</t>
  </si>
  <si>
    <t>Business</t>
  </si>
  <si>
    <t>Active</t>
  </si>
  <si>
    <t>Yes</t>
  </si>
  <si>
    <t>LN0002</t>
  </si>
  <si>
    <t>CU2535</t>
  </si>
  <si>
    <t>Male</t>
  </si>
  <si>
    <t>Chennai</t>
  </si>
  <si>
    <t>Shopping</t>
  </si>
  <si>
    <t>Defaulted</t>
  </si>
  <si>
    <t>LN0003</t>
  </si>
  <si>
    <t>CU6574</t>
  </si>
  <si>
    <t>Self-Employed</t>
  </si>
  <si>
    <t>Travel</t>
  </si>
  <si>
    <t>LN0004</t>
  </si>
  <si>
    <t>CU7201</t>
  </si>
  <si>
    <t>Medical</t>
  </si>
  <si>
    <t>LN0005</t>
  </si>
  <si>
    <t>CU7227</t>
  </si>
  <si>
    <t>Delhi</t>
  </si>
  <si>
    <t>Education</t>
  </si>
  <si>
    <t>Closed</t>
  </si>
  <si>
    <t>2023-11-03</t>
  </si>
  <si>
    <t>No</t>
  </si>
  <si>
    <t>LN0006</t>
  </si>
  <si>
    <t>CU5422</t>
  </si>
  <si>
    <t>Hyderabad</t>
  </si>
  <si>
    <t>2023-08-04</t>
  </si>
  <si>
    <t>2024-01-12</t>
  </si>
  <si>
    <t>LN0007</t>
  </si>
  <si>
    <t>CU7482</t>
  </si>
  <si>
    <t>Restructured</t>
  </si>
  <si>
    <t>2023-08-21</t>
  </si>
  <si>
    <t>2024-03-12</t>
  </si>
  <si>
    <t>LN0008</t>
  </si>
  <si>
    <t>CU4593</t>
  </si>
  <si>
    <t>2023-01-30</t>
  </si>
  <si>
    <t>LN0009</t>
  </si>
  <si>
    <t>CU8668</t>
  </si>
  <si>
    <t>LN0010</t>
  </si>
  <si>
    <t>CU1053</t>
  </si>
  <si>
    <t>LN0011</t>
  </si>
  <si>
    <t>CU6310</t>
  </si>
  <si>
    <t>LN0012</t>
  </si>
  <si>
    <t>CU9727</t>
  </si>
  <si>
    <t>Bangalore</t>
  </si>
  <si>
    <t>2022-11-16</t>
  </si>
  <si>
    <t>2023-12-29</t>
  </si>
  <si>
    <t>LN0013</t>
  </si>
  <si>
    <t>CU9479</t>
  </si>
  <si>
    <t>2022-03-21</t>
  </si>
  <si>
    <t>LN0014</t>
  </si>
  <si>
    <t>CU1514</t>
  </si>
  <si>
    <t>2024-01-03</t>
  </si>
  <si>
    <t>LN0015</t>
  </si>
  <si>
    <t>CU4119</t>
  </si>
  <si>
    <t>LN0016</t>
  </si>
  <si>
    <t>CU2790</t>
  </si>
  <si>
    <t>2023-03-30</t>
  </si>
  <si>
    <t>LN0017</t>
  </si>
  <si>
    <t>CU9856</t>
  </si>
  <si>
    <t>LN0018</t>
  </si>
  <si>
    <t>CU7396</t>
  </si>
  <si>
    <t>LN0019</t>
  </si>
  <si>
    <t>CU8811</t>
  </si>
  <si>
    <t>2023-12-07</t>
  </si>
  <si>
    <t>LN0020</t>
  </si>
  <si>
    <t>CU1651</t>
  </si>
  <si>
    <t>2023-11-19</t>
  </si>
  <si>
    <t>2024-05-02</t>
  </si>
  <si>
    <t>LN0021</t>
  </si>
  <si>
    <t>CU2188</t>
  </si>
  <si>
    <t>LN0022</t>
  </si>
  <si>
    <t>CU3584</t>
  </si>
  <si>
    <t>LN0023</t>
  </si>
  <si>
    <t>CU3546</t>
  </si>
  <si>
    <t>LN0024</t>
  </si>
  <si>
    <t>CU1722</t>
  </si>
  <si>
    <t>LN0025</t>
  </si>
  <si>
    <t>CU3442</t>
  </si>
  <si>
    <t>LN0026</t>
  </si>
  <si>
    <t>CU6794</t>
  </si>
  <si>
    <t>2023-11-17</t>
  </si>
  <si>
    <t>2024-06-25</t>
  </si>
  <si>
    <t>LN0027</t>
  </si>
  <si>
    <t>CU5371</t>
  </si>
  <si>
    <t>LN0028</t>
  </si>
  <si>
    <t>CU4164</t>
  </si>
  <si>
    <t>LN0029</t>
  </si>
  <si>
    <t>CU5279</t>
  </si>
  <si>
    <t>LN0030</t>
  </si>
  <si>
    <t>CU8144</t>
  </si>
  <si>
    <t>LN0031</t>
  </si>
  <si>
    <t>CU6344</t>
  </si>
  <si>
    <t>2023-02-20</t>
  </si>
  <si>
    <t>LN0032</t>
  </si>
  <si>
    <t>CU4443</t>
  </si>
  <si>
    <t>LN0033</t>
  </si>
  <si>
    <t>CU6491</t>
  </si>
  <si>
    <t>2023-04-12</t>
  </si>
  <si>
    <t>LN0034</t>
  </si>
  <si>
    <t>CU4185</t>
  </si>
  <si>
    <t>2023-02-09</t>
  </si>
  <si>
    <t>LN0035</t>
  </si>
  <si>
    <t>CU8611</t>
  </si>
  <si>
    <t>LN0036</t>
  </si>
  <si>
    <t>CU9976</t>
  </si>
  <si>
    <t>2024-02-03</t>
  </si>
  <si>
    <t>LN0037</t>
  </si>
  <si>
    <t>CU8206</t>
  </si>
  <si>
    <t>2023-07-03</t>
  </si>
  <si>
    <t>LN0038</t>
  </si>
  <si>
    <t>CU7678</t>
  </si>
  <si>
    <t>LN0039</t>
  </si>
  <si>
    <t>CU6763</t>
  </si>
  <si>
    <t>2022-12-11</t>
  </si>
  <si>
    <t>2024-01-29</t>
  </si>
  <si>
    <t>LN0040</t>
  </si>
  <si>
    <t>CU8657</t>
  </si>
  <si>
    <t>2022-11-14</t>
  </si>
  <si>
    <t>LN0041</t>
  </si>
  <si>
    <t>CU8449</t>
  </si>
  <si>
    <t>LN0042</t>
  </si>
  <si>
    <t>CU1659</t>
  </si>
  <si>
    <t>2023-04-22</t>
  </si>
  <si>
    <t>2024-04-14</t>
  </si>
  <si>
    <t>LN0043</t>
  </si>
  <si>
    <t>CU3749</t>
  </si>
  <si>
    <t>2022-10-08</t>
  </si>
  <si>
    <t>LN0044</t>
  </si>
  <si>
    <t>CU2669</t>
  </si>
  <si>
    <t>LN0045</t>
  </si>
  <si>
    <t>CU2729</t>
  </si>
  <si>
    <t>2023-12-01</t>
  </si>
  <si>
    <t>LN0046</t>
  </si>
  <si>
    <t>CU6280</t>
  </si>
  <si>
    <t>LN0047</t>
  </si>
  <si>
    <t>CU3979</t>
  </si>
  <si>
    <t>LN0048</t>
  </si>
  <si>
    <t>CU7658</t>
  </si>
  <si>
    <t>2024-02-10</t>
  </si>
  <si>
    <t>LN0049</t>
  </si>
  <si>
    <t>CU7046</t>
  </si>
  <si>
    <t>2024-05-11</t>
  </si>
  <si>
    <t>LN0050</t>
  </si>
  <si>
    <t>CU9779</t>
  </si>
  <si>
    <t>LN0051</t>
  </si>
  <si>
    <t>CU6912</t>
  </si>
  <si>
    <t>2022-04-28</t>
  </si>
  <si>
    <t>LN0052</t>
  </si>
  <si>
    <t>CU8690</t>
  </si>
  <si>
    <t>2023-06-25</t>
  </si>
  <si>
    <t>LN0053</t>
  </si>
  <si>
    <t>CU3485</t>
  </si>
  <si>
    <t>2023-12-31</t>
  </si>
  <si>
    <t>LN0054</t>
  </si>
  <si>
    <t>CU5871</t>
  </si>
  <si>
    <t>LN0055</t>
  </si>
  <si>
    <t>CU2229</t>
  </si>
  <si>
    <t>2024-02-15</t>
  </si>
  <si>
    <t>LN0056</t>
  </si>
  <si>
    <t>CU5334</t>
  </si>
  <si>
    <t>LN0057</t>
  </si>
  <si>
    <t>CU5728</t>
  </si>
  <si>
    <t>2023-11-26</t>
  </si>
  <si>
    <t>LN0058</t>
  </si>
  <si>
    <t>CU8078</t>
  </si>
  <si>
    <t>LN0059</t>
  </si>
  <si>
    <t>CU3870</t>
  </si>
  <si>
    <t>LN0060</t>
  </si>
  <si>
    <t>CU2713</t>
  </si>
  <si>
    <t>LN0061</t>
  </si>
  <si>
    <t>CU6296</t>
  </si>
  <si>
    <t>2024-05-16</t>
  </si>
  <si>
    <t>LN0062</t>
  </si>
  <si>
    <t>CU4335</t>
  </si>
  <si>
    <t>2024-02-06</t>
  </si>
  <si>
    <t>LN0063</t>
  </si>
  <si>
    <t>CU7684</t>
  </si>
  <si>
    <t>2023-03-02</t>
  </si>
  <si>
    <t>LN0064</t>
  </si>
  <si>
    <t>CU4993</t>
  </si>
  <si>
    <t>2024-05-17</t>
  </si>
  <si>
    <t>LN0065</t>
  </si>
  <si>
    <t>CU1042</t>
  </si>
  <si>
    <t>2023-09-23</t>
  </si>
  <si>
    <t>LN0066</t>
  </si>
  <si>
    <t>CU4912</t>
  </si>
  <si>
    <t>2024-05-31</t>
  </si>
  <si>
    <t>LN0067</t>
  </si>
  <si>
    <t>CU9115</t>
  </si>
  <si>
    <t>2022-05-28</t>
  </si>
  <si>
    <t>LN0068</t>
  </si>
  <si>
    <t>CU3529</t>
  </si>
  <si>
    <t>2024-04-03</t>
  </si>
  <si>
    <t>LN0069</t>
  </si>
  <si>
    <t>CU2121</t>
  </si>
  <si>
    <t>LN0070</t>
  </si>
  <si>
    <t>CU5806</t>
  </si>
  <si>
    <t>2022-06-29</t>
  </si>
  <si>
    <t>2022-09-17</t>
  </si>
  <si>
    <t>LN0071</t>
  </si>
  <si>
    <t>CU4945</t>
  </si>
  <si>
    <t>2023-11-25</t>
  </si>
  <si>
    <t>LN0072</t>
  </si>
  <si>
    <t>CU6661</t>
  </si>
  <si>
    <t>2024-01-28</t>
  </si>
  <si>
    <t>LN0073</t>
  </si>
  <si>
    <t>CU5837</t>
  </si>
  <si>
    <t>2023-09-14</t>
  </si>
  <si>
    <t>LN0074</t>
  </si>
  <si>
    <t>CU5106</t>
  </si>
  <si>
    <t>LN0075</t>
  </si>
  <si>
    <t>CU3877</t>
  </si>
  <si>
    <t>2023-10-11</t>
  </si>
  <si>
    <t>LN0076</t>
  </si>
  <si>
    <t>CU8673</t>
  </si>
  <si>
    <t>LN0077</t>
  </si>
  <si>
    <t>CU5295</t>
  </si>
  <si>
    <t>LN0078</t>
  </si>
  <si>
    <t>CU8606</t>
  </si>
  <si>
    <t>LN0079</t>
  </si>
  <si>
    <t>CU8432</t>
  </si>
  <si>
    <t>LN0080</t>
  </si>
  <si>
    <t>CU4559</t>
  </si>
  <si>
    <t>LN0081</t>
  </si>
  <si>
    <t>CU3001</t>
  </si>
  <si>
    <t>2024-05-03</t>
  </si>
  <si>
    <t>LN0082</t>
  </si>
  <si>
    <t>CU4817</t>
  </si>
  <si>
    <t>LN0083</t>
  </si>
  <si>
    <t>CU1422</t>
  </si>
  <si>
    <t>2023-08-20</t>
  </si>
  <si>
    <t>LN0084</t>
  </si>
  <si>
    <t>CU8802</t>
  </si>
  <si>
    <t>LN0085</t>
  </si>
  <si>
    <t>CU8847</t>
  </si>
  <si>
    <t>LN0086</t>
  </si>
  <si>
    <t>CU9984</t>
  </si>
  <si>
    <t>LN0087</t>
  </si>
  <si>
    <t>CU8430</t>
  </si>
  <si>
    <t>2022-06-11</t>
  </si>
  <si>
    <t>LN0088</t>
  </si>
  <si>
    <t>CU2527</t>
  </si>
  <si>
    <t>2024-03-06</t>
  </si>
  <si>
    <t>LN0089</t>
  </si>
  <si>
    <t>CU5712</t>
  </si>
  <si>
    <t>LN0090</t>
  </si>
  <si>
    <t>CU5564</t>
  </si>
  <si>
    <t>LN0091</t>
  </si>
  <si>
    <t>CU3347</t>
  </si>
  <si>
    <t>2023-05-26</t>
  </si>
  <si>
    <t>LN0092</t>
  </si>
  <si>
    <t>CU6105</t>
  </si>
  <si>
    <t>LN0093</t>
  </si>
  <si>
    <t>CU8242</t>
  </si>
  <si>
    <t>2024-05-30</t>
  </si>
  <si>
    <t>LN0094</t>
  </si>
  <si>
    <t>CU1744</t>
  </si>
  <si>
    <t>LN0095</t>
  </si>
  <si>
    <t>CU9149</t>
  </si>
  <si>
    <t>LN0096</t>
  </si>
  <si>
    <t>CU8532</t>
  </si>
  <si>
    <t>LN0097</t>
  </si>
  <si>
    <t>CU8538</t>
  </si>
  <si>
    <t>2023-10-27</t>
  </si>
  <si>
    <t>LN0098</t>
  </si>
  <si>
    <t>CU6456</t>
  </si>
  <si>
    <t>2022-09-12</t>
  </si>
  <si>
    <t>LN0099</t>
  </si>
  <si>
    <t>CU3504</t>
  </si>
  <si>
    <t>LN0100</t>
  </si>
  <si>
    <t>CU2118</t>
  </si>
  <si>
    <t>2022-04-07</t>
  </si>
  <si>
    <t>LN0101</t>
  </si>
  <si>
    <t>CU5703</t>
  </si>
  <si>
    <t>2023-11-13</t>
  </si>
  <si>
    <t>LN0102</t>
  </si>
  <si>
    <t>CU8792</t>
  </si>
  <si>
    <t>2022-10-21</t>
  </si>
  <si>
    <t>LN0103</t>
  </si>
  <si>
    <t>CU9586</t>
  </si>
  <si>
    <t>LN0104</t>
  </si>
  <si>
    <t>CU2548</t>
  </si>
  <si>
    <t>LN0105</t>
  </si>
  <si>
    <t>CU2388</t>
  </si>
  <si>
    <t>LN0106</t>
  </si>
  <si>
    <t>CU6598</t>
  </si>
  <si>
    <t>LN0107</t>
  </si>
  <si>
    <t>CU3147</t>
  </si>
  <si>
    <t>LN0108</t>
  </si>
  <si>
    <t>CU8355</t>
  </si>
  <si>
    <t>LN0109</t>
  </si>
  <si>
    <t>CU3655</t>
  </si>
  <si>
    <t>LN0110</t>
  </si>
  <si>
    <t>CU5469</t>
  </si>
  <si>
    <t>2023-04-05</t>
  </si>
  <si>
    <t>LN0111</t>
  </si>
  <si>
    <t>CU7126</t>
  </si>
  <si>
    <t>LN0112</t>
  </si>
  <si>
    <t>CU8740</t>
  </si>
  <si>
    <t>2024-06-26</t>
  </si>
  <si>
    <t>LN0113</t>
  </si>
  <si>
    <t>CU4893</t>
  </si>
  <si>
    <t>2024-06-04</t>
  </si>
  <si>
    <t>LN0114</t>
  </si>
  <si>
    <t>CU9443</t>
  </si>
  <si>
    <t>2023-11-12</t>
  </si>
  <si>
    <t>2024-05-01</t>
  </si>
  <si>
    <t>LN0115</t>
  </si>
  <si>
    <t>CU6908</t>
  </si>
  <si>
    <t>LN0116</t>
  </si>
  <si>
    <t>CU2698</t>
  </si>
  <si>
    <t>2024-01-10</t>
  </si>
  <si>
    <t>LN0117</t>
  </si>
  <si>
    <t>CU2033</t>
  </si>
  <si>
    <t>2023-06-12</t>
  </si>
  <si>
    <t>LN0118</t>
  </si>
  <si>
    <t>CU9897</t>
  </si>
  <si>
    <t>LN0119</t>
  </si>
  <si>
    <t>CU7553</t>
  </si>
  <si>
    <t>LN0120</t>
  </si>
  <si>
    <t>CU3956</t>
  </si>
  <si>
    <t>2024-05-26</t>
  </si>
  <si>
    <t>LN0121</t>
  </si>
  <si>
    <t>CU6759</t>
  </si>
  <si>
    <t>2023-06-10</t>
  </si>
  <si>
    <t>LN0122</t>
  </si>
  <si>
    <t>CU3339</t>
  </si>
  <si>
    <t>LN0123</t>
  </si>
  <si>
    <t>CU7077</t>
  </si>
  <si>
    <t>LN0124</t>
  </si>
  <si>
    <t>CU7340</t>
  </si>
  <si>
    <t>2022-09-21</t>
  </si>
  <si>
    <t>LN0125</t>
  </si>
  <si>
    <t>CU8292</t>
  </si>
  <si>
    <t>LN0126</t>
  </si>
  <si>
    <t>CU4292</t>
  </si>
  <si>
    <t>2023-11-02</t>
  </si>
  <si>
    <t>LN0127</t>
  </si>
  <si>
    <t>CU8842</t>
  </si>
  <si>
    <t>2022-05-12</t>
  </si>
  <si>
    <t>LN0128</t>
  </si>
  <si>
    <t>CU3114</t>
  </si>
  <si>
    <t>LN0129</t>
  </si>
  <si>
    <t>CU5105</t>
  </si>
  <si>
    <t>2024-04-29</t>
  </si>
  <si>
    <t>LN0130</t>
  </si>
  <si>
    <t>CU1674</t>
  </si>
  <si>
    <t>2024-03-01</t>
  </si>
  <si>
    <t>LN0131</t>
  </si>
  <si>
    <t>CU8912</t>
  </si>
  <si>
    <t>2023-08-03</t>
  </si>
  <si>
    <t>LN0132</t>
  </si>
  <si>
    <t>CU3353</t>
  </si>
  <si>
    <t>LN0133</t>
  </si>
  <si>
    <t>CU8366</t>
  </si>
  <si>
    <t>LN0134</t>
  </si>
  <si>
    <t>CU3610</t>
  </si>
  <si>
    <t>LN0135</t>
  </si>
  <si>
    <t>CU1797</t>
  </si>
  <si>
    <t>2023-10-07</t>
  </si>
  <si>
    <t>LN0136</t>
  </si>
  <si>
    <t>CU7563</t>
  </si>
  <si>
    <t>LN0137</t>
  </si>
  <si>
    <t>CU2584</t>
  </si>
  <si>
    <t>LN0138</t>
  </si>
  <si>
    <t>LN0139</t>
  </si>
  <si>
    <t>CU9351</t>
  </si>
  <si>
    <t>2024-01-25</t>
  </si>
  <si>
    <t>LN0140</t>
  </si>
  <si>
    <t>CU8775</t>
  </si>
  <si>
    <t>2024-01-30</t>
  </si>
  <si>
    <t>LN0141</t>
  </si>
  <si>
    <t>CU2800</t>
  </si>
  <si>
    <t>2024-02-25</t>
  </si>
  <si>
    <t>LN0142</t>
  </si>
  <si>
    <t>CU9498</t>
  </si>
  <si>
    <t>LN0143</t>
  </si>
  <si>
    <t>CU4150</t>
  </si>
  <si>
    <t>2024-03-26</t>
  </si>
  <si>
    <t>LN0144</t>
  </si>
  <si>
    <t>CU5480</t>
  </si>
  <si>
    <t>LN0145</t>
  </si>
  <si>
    <t>CU2294</t>
  </si>
  <si>
    <t>LN0146</t>
  </si>
  <si>
    <t>CU4920</t>
  </si>
  <si>
    <t>LN0147</t>
  </si>
  <si>
    <t>CU3587</t>
  </si>
  <si>
    <t>2023-07-02</t>
  </si>
  <si>
    <t>2023-07-21</t>
  </si>
  <si>
    <t>LN0148</t>
  </si>
  <si>
    <t>CU3880</t>
  </si>
  <si>
    <t>LN0149</t>
  </si>
  <si>
    <t>CU9901</t>
  </si>
  <si>
    <t>LN0150</t>
  </si>
  <si>
    <t>CU5833</t>
  </si>
  <si>
    <t>2023-09-24</t>
  </si>
  <si>
    <t>LN0151</t>
  </si>
  <si>
    <t>CU1111</t>
  </si>
  <si>
    <t>LN0152</t>
  </si>
  <si>
    <t>CU2017</t>
  </si>
  <si>
    <t>LN0153</t>
  </si>
  <si>
    <t>CU4618</t>
  </si>
  <si>
    <t>2023-07-05</t>
  </si>
  <si>
    <t>2024-06-09</t>
  </si>
  <si>
    <t>LN0154</t>
  </si>
  <si>
    <t>CU5054</t>
  </si>
  <si>
    <t>2024-05-10</t>
  </si>
  <si>
    <t>LN0155</t>
  </si>
  <si>
    <t>CU9525</t>
  </si>
  <si>
    <t>2023-10-23</t>
  </si>
  <si>
    <t>LN0156</t>
  </si>
  <si>
    <t>CU8484</t>
  </si>
  <si>
    <t>LN0157</t>
  </si>
  <si>
    <t>CU2044</t>
  </si>
  <si>
    <t>2024-02-14</t>
  </si>
  <si>
    <t>LN0158</t>
  </si>
  <si>
    <t>CU7184</t>
  </si>
  <si>
    <t>2022-08-20</t>
  </si>
  <si>
    <t>LN0159</t>
  </si>
  <si>
    <t>CU8585</t>
  </si>
  <si>
    <t>LN0160</t>
  </si>
  <si>
    <t>CU1256</t>
  </si>
  <si>
    <t>2023-04-02</t>
  </si>
  <si>
    <t>LN0161</t>
  </si>
  <si>
    <t>LN0162</t>
  </si>
  <si>
    <t>CU9540</t>
  </si>
  <si>
    <t>2024-04-02</t>
  </si>
  <si>
    <t>LN0163</t>
  </si>
  <si>
    <t>CU6642</t>
  </si>
  <si>
    <t>LN0164</t>
  </si>
  <si>
    <t>CU3365</t>
  </si>
  <si>
    <t>LN0165</t>
  </si>
  <si>
    <t>CU8369</t>
  </si>
  <si>
    <t>LN0166</t>
  </si>
  <si>
    <t>CU4555</t>
  </si>
  <si>
    <t>LN0167</t>
  </si>
  <si>
    <t>CU7498</t>
  </si>
  <si>
    <t>LN0168</t>
  </si>
  <si>
    <t>CU6246</t>
  </si>
  <si>
    <t>LN0169</t>
  </si>
  <si>
    <t>CU4214</t>
  </si>
  <si>
    <t>2023-04-17</t>
  </si>
  <si>
    <t>2023-07-12</t>
  </si>
  <si>
    <t>LN0170</t>
  </si>
  <si>
    <t>CU3773</t>
  </si>
  <si>
    <t>2023-02-27</t>
  </si>
  <si>
    <t>LN0171</t>
  </si>
  <si>
    <t>CU4791</t>
  </si>
  <si>
    <t>2024-03-10</t>
  </si>
  <si>
    <t>LN0172</t>
  </si>
  <si>
    <t>CU1108</t>
  </si>
  <si>
    <t>2022-07-27</t>
  </si>
  <si>
    <t>LN0173</t>
  </si>
  <si>
    <t>CU4144</t>
  </si>
  <si>
    <t>LN0174</t>
  </si>
  <si>
    <t>CU2320</t>
  </si>
  <si>
    <t>2023-08-19</t>
  </si>
  <si>
    <t>LN0175</t>
  </si>
  <si>
    <t>CU6427</t>
  </si>
  <si>
    <t>LN0176</t>
  </si>
  <si>
    <t>CU4394</t>
  </si>
  <si>
    <t>LN0177</t>
  </si>
  <si>
    <t>CU2284</t>
  </si>
  <si>
    <t>2022-12-31</t>
  </si>
  <si>
    <t>LN0178</t>
  </si>
  <si>
    <t>CU8381</t>
  </si>
  <si>
    <t>LN0179</t>
  </si>
  <si>
    <t>CU3526</t>
  </si>
  <si>
    <t>LN0180</t>
  </si>
  <si>
    <t>CU3170</t>
  </si>
  <si>
    <t>LN0181</t>
  </si>
  <si>
    <t>CU1202</t>
  </si>
  <si>
    <t>2023-02-22</t>
  </si>
  <si>
    <t>LN0182</t>
  </si>
  <si>
    <t>CU3390</t>
  </si>
  <si>
    <t>LN0183</t>
  </si>
  <si>
    <t>CU4203</t>
  </si>
  <si>
    <t>LN0184</t>
  </si>
  <si>
    <t>CU3230</t>
  </si>
  <si>
    <t>LN0185</t>
  </si>
  <si>
    <t>CU4971</t>
  </si>
  <si>
    <t>2024-06-13</t>
  </si>
  <si>
    <t>LN0186</t>
  </si>
  <si>
    <t>CU8563</t>
  </si>
  <si>
    <t>2022-09-16</t>
  </si>
  <si>
    <t>LN0187</t>
  </si>
  <si>
    <t>CU2211</t>
  </si>
  <si>
    <t>LN0188</t>
  </si>
  <si>
    <t>CU6816</t>
  </si>
  <si>
    <t>LN0189</t>
  </si>
  <si>
    <t>CU4621</t>
  </si>
  <si>
    <t>LN0190</t>
  </si>
  <si>
    <t>CU2406</t>
  </si>
  <si>
    <t>LN0191</t>
  </si>
  <si>
    <t>CU6225</t>
  </si>
  <si>
    <t>2023-06-13</t>
  </si>
  <si>
    <t>2023-09-10</t>
  </si>
  <si>
    <t>LN0192</t>
  </si>
  <si>
    <t>CU7985</t>
  </si>
  <si>
    <t>LN0193</t>
  </si>
  <si>
    <t>CU4519</t>
  </si>
  <si>
    <t>LN0194</t>
  </si>
  <si>
    <t>CU6134</t>
  </si>
  <si>
    <t>LN0195</t>
  </si>
  <si>
    <t>CU4908</t>
  </si>
  <si>
    <t>LN0196</t>
  </si>
  <si>
    <t>CU9804</t>
  </si>
  <si>
    <t>LN0197</t>
  </si>
  <si>
    <t>CU4196</t>
  </si>
  <si>
    <t>LN0198</t>
  </si>
  <si>
    <t>CU4683</t>
  </si>
  <si>
    <t>LN0199</t>
  </si>
  <si>
    <t>CU1681</t>
  </si>
  <si>
    <t>LN0200</t>
  </si>
  <si>
    <t>CU4882</t>
  </si>
  <si>
    <t>LN0201</t>
  </si>
  <si>
    <t>CU9827</t>
  </si>
  <si>
    <t>2024-06-10</t>
  </si>
  <si>
    <t>LN0202</t>
  </si>
  <si>
    <t>CU3078</t>
  </si>
  <si>
    <t>LN0203</t>
  </si>
  <si>
    <t>CU2237</t>
  </si>
  <si>
    <t>LN0204</t>
  </si>
  <si>
    <t>CU9756</t>
  </si>
  <si>
    <t>2024-04-07</t>
  </si>
  <si>
    <t>LN0205</t>
  </si>
  <si>
    <t>CU1793</t>
  </si>
  <si>
    <t>2022-12-09</t>
  </si>
  <si>
    <t>LN0206</t>
  </si>
  <si>
    <t>CU3604</t>
  </si>
  <si>
    <t>LN0207</t>
  </si>
  <si>
    <t>CU1017</t>
  </si>
  <si>
    <t>LN0208</t>
  </si>
  <si>
    <t>CU4751</t>
  </si>
  <si>
    <t>2023-09-06</t>
  </si>
  <si>
    <t>LN0209</t>
  </si>
  <si>
    <t>CU3688</t>
  </si>
  <si>
    <t>LN0210</t>
  </si>
  <si>
    <t>CU7291</t>
  </si>
  <si>
    <t>LN0211</t>
  </si>
  <si>
    <t>CU5942</t>
  </si>
  <si>
    <t>2024-04-17</t>
  </si>
  <si>
    <t>LN0212</t>
  </si>
  <si>
    <t>CU1197</t>
  </si>
  <si>
    <t>LN0213</t>
  </si>
  <si>
    <t>CU4534</t>
  </si>
  <si>
    <t>LN0214</t>
  </si>
  <si>
    <t>CU3501</t>
  </si>
  <si>
    <t>LN0215</t>
  </si>
  <si>
    <t>CU8167</t>
  </si>
  <si>
    <t>2023-11-14</t>
  </si>
  <si>
    <t>LN0216</t>
  </si>
  <si>
    <t>CU3248</t>
  </si>
  <si>
    <t>LN0217</t>
  </si>
  <si>
    <t>CU5456</t>
  </si>
  <si>
    <t>2023-06-22</t>
  </si>
  <si>
    <t>LN0218</t>
  </si>
  <si>
    <t>CU2889</t>
  </si>
  <si>
    <t>2023-08-26</t>
  </si>
  <si>
    <t>LN0219</t>
  </si>
  <si>
    <t>CU5067</t>
  </si>
  <si>
    <t>2024-01-27</t>
  </si>
  <si>
    <t>LN0220</t>
  </si>
  <si>
    <t>CU2129</t>
  </si>
  <si>
    <t>LN0221</t>
  </si>
  <si>
    <t>CU4974</t>
  </si>
  <si>
    <t>LN0222</t>
  </si>
  <si>
    <t>CU6675</t>
  </si>
  <si>
    <t>2023-06-18</t>
  </si>
  <si>
    <t>LN0223</t>
  </si>
  <si>
    <t>CU5584</t>
  </si>
  <si>
    <t>LN0224</t>
  </si>
  <si>
    <t>CU2020</t>
  </si>
  <si>
    <t>LN0225</t>
  </si>
  <si>
    <t>CU2223</t>
  </si>
  <si>
    <t>LN0226</t>
  </si>
  <si>
    <t>CU4401</t>
  </si>
  <si>
    <t>LN0227</t>
  </si>
  <si>
    <t>CU5066</t>
  </si>
  <si>
    <t>2024-04-30</t>
  </si>
  <si>
    <t>LN0228</t>
  </si>
  <si>
    <t>CU2551</t>
  </si>
  <si>
    <t>LN0229</t>
  </si>
  <si>
    <t>CU5240</t>
  </si>
  <si>
    <t>LN0230</t>
  </si>
  <si>
    <t>CU8096</t>
  </si>
  <si>
    <t>LN0231</t>
  </si>
  <si>
    <t>CU1567</t>
  </si>
  <si>
    <t>2024-05-12</t>
  </si>
  <si>
    <t>LN0232</t>
  </si>
  <si>
    <t>CU5082</t>
  </si>
  <si>
    <t>LN0233</t>
  </si>
  <si>
    <t>CU6224</t>
  </si>
  <si>
    <t>2022-12-22</t>
  </si>
  <si>
    <t>LN0234</t>
  </si>
  <si>
    <t>CU1916</t>
  </si>
  <si>
    <t>2023-12-22</t>
  </si>
  <si>
    <t>LN0235</t>
  </si>
  <si>
    <t>CU3328</t>
  </si>
  <si>
    <t>2023-07-14</t>
  </si>
  <si>
    <t>LN0236</t>
  </si>
  <si>
    <t>CU4300</t>
  </si>
  <si>
    <t>LN0237</t>
  </si>
  <si>
    <t>CU7120</t>
  </si>
  <si>
    <t>2024-01-16</t>
  </si>
  <si>
    <t>LN0238</t>
  </si>
  <si>
    <t>CU6846</t>
  </si>
  <si>
    <t>LN0239</t>
  </si>
  <si>
    <t>CU6213</t>
  </si>
  <si>
    <t>2023-10-14</t>
  </si>
  <si>
    <t>2023-11-28</t>
  </si>
  <si>
    <t>LN0240</t>
  </si>
  <si>
    <t>CU5345</t>
  </si>
  <si>
    <t>LN0241</t>
  </si>
  <si>
    <t>CU3725</t>
  </si>
  <si>
    <t>2023-09-21</t>
  </si>
  <si>
    <t>LN0242</t>
  </si>
  <si>
    <t>CU1547</t>
  </si>
  <si>
    <t>2023-09-29</t>
  </si>
  <si>
    <t>LN0243</t>
  </si>
  <si>
    <t>CU8909</t>
  </si>
  <si>
    <t>2024-05-04</t>
  </si>
  <si>
    <t>LN0244</t>
  </si>
  <si>
    <t>CU5612</t>
  </si>
  <si>
    <t>LN0245</t>
  </si>
  <si>
    <t>CU5825</t>
  </si>
  <si>
    <t>LN0246</t>
  </si>
  <si>
    <t>CU5341</t>
  </si>
  <si>
    <t>2023-09-03</t>
  </si>
  <si>
    <t>LN0247</t>
  </si>
  <si>
    <t>CU5400</t>
  </si>
  <si>
    <t>LN0248</t>
  </si>
  <si>
    <t>CU7858</t>
  </si>
  <si>
    <t>2024-06-17</t>
  </si>
  <si>
    <t>LN0249</t>
  </si>
  <si>
    <t>CU3738</t>
  </si>
  <si>
    <t>LN0250</t>
  </si>
  <si>
    <t>CU7510</t>
  </si>
  <si>
    <t>LN0251</t>
  </si>
  <si>
    <t>CU2641</t>
  </si>
  <si>
    <t>2022-08-03</t>
  </si>
  <si>
    <t>LN0252</t>
  </si>
  <si>
    <t>CU7602</t>
  </si>
  <si>
    <t>LN0253</t>
  </si>
  <si>
    <t>CU5965</t>
  </si>
  <si>
    <t>LN0254</t>
  </si>
  <si>
    <t>CU2462</t>
  </si>
  <si>
    <t>2023-01-21</t>
  </si>
  <si>
    <t>LN0255</t>
  </si>
  <si>
    <t>CU9589</t>
  </si>
  <si>
    <t>2023-10-20</t>
  </si>
  <si>
    <t>LN0256</t>
  </si>
  <si>
    <t>CU3029</t>
  </si>
  <si>
    <t>LN0257</t>
  </si>
  <si>
    <t>CU2480</t>
  </si>
  <si>
    <t>2023-10-25</t>
  </si>
  <si>
    <t>2023-12-21</t>
  </si>
  <si>
    <t>LN0258</t>
  </si>
  <si>
    <t>CU7709</t>
  </si>
  <si>
    <t>LN0259</t>
  </si>
  <si>
    <t>CU5511</t>
  </si>
  <si>
    <t>2023-10-13</t>
  </si>
  <si>
    <t>LN0260</t>
  </si>
  <si>
    <t>CU9380</t>
  </si>
  <si>
    <t>LN0261</t>
  </si>
  <si>
    <t>CU9475</t>
  </si>
  <si>
    <t>LN0262</t>
  </si>
  <si>
    <t>CU1578</t>
  </si>
  <si>
    <t>2023-02-04</t>
  </si>
  <si>
    <t>LN0263</t>
  </si>
  <si>
    <t>CU5237</t>
  </si>
  <si>
    <t>LN0264</t>
  </si>
  <si>
    <t>CU2929</t>
  </si>
  <si>
    <t>LN0265</t>
  </si>
  <si>
    <t>CU3470</t>
  </si>
  <si>
    <t>LN0266</t>
  </si>
  <si>
    <t>CU3897</t>
  </si>
  <si>
    <t>2022-08-11</t>
  </si>
  <si>
    <t>LN0267</t>
  </si>
  <si>
    <t>CU8035</t>
  </si>
  <si>
    <t>LN0268</t>
  </si>
  <si>
    <t>CU1067</t>
  </si>
  <si>
    <t>2024-06-28</t>
  </si>
  <si>
    <t>LN0269</t>
  </si>
  <si>
    <t>CU5764</t>
  </si>
  <si>
    <t>LN0270</t>
  </si>
  <si>
    <t>CU3149</t>
  </si>
  <si>
    <t>LN0271</t>
  </si>
  <si>
    <t>CU1323</t>
  </si>
  <si>
    <t>2024-06-05</t>
  </si>
  <si>
    <t>LN0272</t>
  </si>
  <si>
    <t>CU2654</t>
  </si>
  <si>
    <t>LN0273</t>
  </si>
  <si>
    <t>CU9154</t>
  </si>
  <si>
    <t>2023-12-06</t>
  </si>
  <si>
    <t>LN0274</t>
  </si>
  <si>
    <t>CU4842</t>
  </si>
  <si>
    <t>LN0275</t>
  </si>
  <si>
    <t>CU5850</t>
  </si>
  <si>
    <t>LN0276</t>
  </si>
  <si>
    <t>CU1751</t>
  </si>
  <si>
    <t>LN0277</t>
  </si>
  <si>
    <t>CU7566</t>
  </si>
  <si>
    <t>LN0278</t>
  </si>
  <si>
    <t>CU3611</t>
  </si>
  <si>
    <t>2023-12-02</t>
  </si>
  <si>
    <t>LN0279</t>
  </si>
  <si>
    <t>CU8997</t>
  </si>
  <si>
    <t>2024-06-27</t>
  </si>
  <si>
    <t>LN0280</t>
  </si>
  <si>
    <t>CU2560</t>
  </si>
  <si>
    <t>LN0281</t>
  </si>
  <si>
    <t>CU8688</t>
  </si>
  <si>
    <t>2024-06-11</t>
  </si>
  <si>
    <t>LN0282</t>
  </si>
  <si>
    <t>CU4850</t>
  </si>
  <si>
    <t>2023-11-05</t>
  </si>
  <si>
    <t>LN0283</t>
  </si>
  <si>
    <t>CU7609</t>
  </si>
  <si>
    <t>2024-04-21</t>
  </si>
  <si>
    <t>LN0284</t>
  </si>
  <si>
    <t>CU6953</t>
  </si>
  <si>
    <t>LN0285</t>
  </si>
  <si>
    <t>CU6818</t>
  </si>
  <si>
    <t>LN0286</t>
  </si>
  <si>
    <t>CU7437</t>
  </si>
  <si>
    <t>LN0287</t>
  </si>
  <si>
    <t>CU9260</t>
  </si>
  <si>
    <t>2024-05-06</t>
  </si>
  <si>
    <t>LN0288</t>
  </si>
  <si>
    <t>CU3103</t>
  </si>
  <si>
    <t>LN0289</t>
  </si>
  <si>
    <t>CU8419</t>
  </si>
  <si>
    <t>2024-02-27</t>
  </si>
  <si>
    <t>LN0290</t>
  </si>
  <si>
    <t>CU3173</t>
  </si>
  <si>
    <t>LN0291</t>
  </si>
  <si>
    <t>CU1414</t>
  </si>
  <si>
    <t>LN0292</t>
  </si>
  <si>
    <t>CU9866</t>
  </si>
  <si>
    <t>LN0293</t>
  </si>
  <si>
    <t>CU7349</t>
  </si>
  <si>
    <t>2024-04-16</t>
  </si>
  <si>
    <t>LN0294</t>
  </si>
  <si>
    <t>CU4170</t>
  </si>
  <si>
    <t>LN0295</t>
  </si>
  <si>
    <t>CU3131</t>
  </si>
  <si>
    <t>LN0296</t>
  </si>
  <si>
    <t>CU6866</t>
  </si>
  <si>
    <t>2024-04-10</t>
  </si>
  <si>
    <t>LN0297</t>
  </si>
  <si>
    <t>CU2506</t>
  </si>
  <si>
    <t>LN0298</t>
  </si>
  <si>
    <t>CU2879</t>
  </si>
  <si>
    <t>LN0299</t>
  </si>
  <si>
    <t>CU1404</t>
  </si>
  <si>
    <t>LN0300</t>
  </si>
  <si>
    <t>CU3742</t>
  </si>
  <si>
    <t>2024-05-21</t>
  </si>
  <si>
    <t>LN0301</t>
  </si>
  <si>
    <t>CU3519</t>
  </si>
  <si>
    <t>LN0302</t>
  </si>
  <si>
    <t>2023-10-19</t>
  </si>
  <si>
    <t>LN0303</t>
  </si>
  <si>
    <t>CU1745</t>
  </si>
  <si>
    <t>2024-03-05</t>
  </si>
  <si>
    <t>LN0304</t>
  </si>
  <si>
    <t>CU8765</t>
  </si>
  <si>
    <t>LN0305</t>
  </si>
  <si>
    <t>CU1082</t>
  </si>
  <si>
    <t>2022-12-19</t>
  </si>
  <si>
    <t>LN0306</t>
  </si>
  <si>
    <t>CU5140</t>
  </si>
  <si>
    <t>LN0307</t>
  </si>
  <si>
    <t>CU8982</t>
  </si>
  <si>
    <t>LN0308</t>
  </si>
  <si>
    <t>CU6008</t>
  </si>
  <si>
    <t>LN0309</t>
  </si>
  <si>
    <t>CU6432</t>
  </si>
  <si>
    <t>LN0310</t>
  </si>
  <si>
    <t>CU4218</t>
  </si>
  <si>
    <t>2023-12-14</t>
  </si>
  <si>
    <t>LN0311</t>
  </si>
  <si>
    <t>CU5269</t>
  </si>
  <si>
    <t>2024-01-02</t>
  </si>
  <si>
    <t>LN0312</t>
  </si>
  <si>
    <t>CU6961</t>
  </si>
  <si>
    <t>2023-11-10</t>
  </si>
  <si>
    <t>LN0313</t>
  </si>
  <si>
    <t>CU8989</t>
  </si>
  <si>
    <t>LN0314</t>
  </si>
  <si>
    <t>CU1653</t>
  </si>
  <si>
    <t>LN0315</t>
  </si>
  <si>
    <t>CU5121</t>
  </si>
  <si>
    <t>LN0316</t>
  </si>
  <si>
    <t>CU4768</t>
  </si>
  <si>
    <t>2024-04-19</t>
  </si>
  <si>
    <t>LN0317</t>
  </si>
  <si>
    <t>CU8889</t>
  </si>
  <si>
    <t>2024-02-21</t>
  </si>
  <si>
    <t>LN0318</t>
  </si>
  <si>
    <t>CU3406</t>
  </si>
  <si>
    <t>LN0319</t>
  </si>
  <si>
    <t>CU8723</t>
  </si>
  <si>
    <t>LN0320</t>
  </si>
  <si>
    <t>CU2127</t>
  </si>
  <si>
    <t>2024-02-13</t>
  </si>
  <si>
    <t>LN0321</t>
  </si>
  <si>
    <t>CU3906</t>
  </si>
  <si>
    <t>LN0322</t>
  </si>
  <si>
    <t>CU7068</t>
  </si>
  <si>
    <t>LN0323</t>
  </si>
  <si>
    <t>CU4809</t>
  </si>
  <si>
    <t>LN0324</t>
  </si>
  <si>
    <t>CU4365</t>
  </si>
  <si>
    <t>2023-08-02</t>
  </si>
  <si>
    <t>2024-02-05</t>
  </si>
  <si>
    <t>LN0325</t>
  </si>
  <si>
    <t>CU7511</t>
  </si>
  <si>
    <t>LN0326</t>
  </si>
  <si>
    <t>CU7522</t>
  </si>
  <si>
    <t>LN0327</t>
  </si>
  <si>
    <t>CU1086</t>
  </si>
  <si>
    <t>LN0328</t>
  </si>
  <si>
    <t>CU9536</t>
  </si>
  <si>
    <t>LN0329</t>
  </si>
  <si>
    <t>CU9364</t>
  </si>
  <si>
    <t>LN0330</t>
  </si>
  <si>
    <t>CU7474</t>
  </si>
  <si>
    <t>LN0331</t>
  </si>
  <si>
    <t>CU4187</t>
  </si>
  <si>
    <t>LN0332</t>
  </si>
  <si>
    <t>CU2917</t>
  </si>
  <si>
    <t>LN0333</t>
  </si>
  <si>
    <t>CU1448</t>
  </si>
  <si>
    <t>LN0334</t>
  </si>
  <si>
    <t>CU1159</t>
  </si>
  <si>
    <t>2023-11-15</t>
  </si>
  <si>
    <t>LN0335</t>
  </si>
  <si>
    <t>CU5408</t>
  </si>
  <si>
    <t>2023-04-08</t>
  </si>
  <si>
    <t>LN0336</t>
  </si>
  <si>
    <t>CU2747</t>
  </si>
  <si>
    <t>2023-12-30</t>
  </si>
  <si>
    <t>LN0337</t>
  </si>
  <si>
    <t>CU3996</t>
  </si>
  <si>
    <t>LN0338</t>
  </si>
  <si>
    <t>CU3863</t>
  </si>
  <si>
    <t>2023-08-18</t>
  </si>
  <si>
    <t>2023-10-08</t>
  </si>
  <si>
    <t>LN0339</t>
  </si>
  <si>
    <t>CU6924</t>
  </si>
  <si>
    <t>LN0340</t>
  </si>
  <si>
    <t>CU7866</t>
  </si>
  <si>
    <t>2024-04-20</t>
  </si>
  <si>
    <t>LN0341</t>
  </si>
  <si>
    <t>CU8081</t>
  </si>
  <si>
    <t>LN0342</t>
  </si>
  <si>
    <t>CU8972</t>
  </si>
  <si>
    <t>LN0343</t>
  </si>
  <si>
    <t>CU6483</t>
  </si>
  <si>
    <t>2024-06-03</t>
  </si>
  <si>
    <t>LN0344</t>
  </si>
  <si>
    <t>CU5663</t>
  </si>
  <si>
    <t>LN0345</t>
  </si>
  <si>
    <t>CU6527</t>
  </si>
  <si>
    <t>LN0346</t>
  </si>
  <si>
    <t>CU8289</t>
  </si>
  <si>
    <t>2023-12-19</t>
  </si>
  <si>
    <t>LN0347</t>
  </si>
  <si>
    <t>CU7505</t>
  </si>
  <si>
    <t>LN0348</t>
  </si>
  <si>
    <t>CU7387</t>
  </si>
  <si>
    <t>LN0349</t>
  </si>
  <si>
    <t>CU6328</t>
  </si>
  <si>
    <t>2024-05-18</t>
  </si>
  <si>
    <t>LN0350</t>
  </si>
  <si>
    <t>CU9745</t>
  </si>
  <si>
    <t>2022-11-17</t>
  </si>
  <si>
    <t>LN0351</t>
  </si>
  <si>
    <t>CU3233</t>
  </si>
  <si>
    <t>LN0352</t>
  </si>
  <si>
    <t>CU9981</t>
  </si>
  <si>
    <t>2023-05-10</t>
  </si>
  <si>
    <t>LN0353</t>
  </si>
  <si>
    <t>CU7917</t>
  </si>
  <si>
    <t>LN0354</t>
  </si>
  <si>
    <t>CU5458</t>
  </si>
  <si>
    <t>LN0355</t>
  </si>
  <si>
    <t>CU1134</t>
  </si>
  <si>
    <t>LN0356</t>
  </si>
  <si>
    <t>CU3393</t>
  </si>
  <si>
    <t>2022-05-17</t>
  </si>
  <si>
    <t>LN0357</t>
  </si>
  <si>
    <t>CU7304</t>
  </si>
  <si>
    <t>LN0358</t>
  </si>
  <si>
    <t>CU3598</t>
  </si>
  <si>
    <t>LN0359</t>
  </si>
  <si>
    <t>LN0360</t>
  </si>
  <si>
    <t>CU2497</t>
  </si>
  <si>
    <t>2023-07-17</t>
  </si>
  <si>
    <t>LN0361</t>
  </si>
  <si>
    <t>CU8187</t>
  </si>
  <si>
    <t>LN0362</t>
  </si>
  <si>
    <t>CU4057</t>
  </si>
  <si>
    <t>LN0363</t>
  </si>
  <si>
    <t>CU5314</t>
  </si>
  <si>
    <t>LN0364</t>
  </si>
  <si>
    <t>CU2037</t>
  </si>
  <si>
    <t>LN0365</t>
  </si>
  <si>
    <t>CU1717</t>
  </si>
  <si>
    <t>2024-03-09</t>
  </si>
  <si>
    <t>LN0366</t>
  </si>
  <si>
    <t>CU5193</t>
  </si>
  <si>
    <t>LN0367</t>
  </si>
  <si>
    <t>CU7814</t>
  </si>
  <si>
    <t>LN0368</t>
  </si>
  <si>
    <t>CU9710</t>
  </si>
  <si>
    <t>LN0369</t>
  </si>
  <si>
    <t>CU7997</t>
  </si>
  <si>
    <t>LN0370</t>
  </si>
  <si>
    <t>CU7090</t>
  </si>
  <si>
    <t>LN0371</t>
  </si>
  <si>
    <t>CU1003</t>
  </si>
  <si>
    <t>LN0372</t>
  </si>
  <si>
    <t>CU9376</t>
  </si>
  <si>
    <t>2023-05-16</t>
  </si>
  <si>
    <t>LN0373</t>
  </si>
  <si>
    <t>CU7550</t>
  </si>
  <si>
    <t>LN0374</t>
  </si>
  <si>
    <t>LN0375</t>
  </si>
  <si>
    <t>CU9591</t>
  </si>
  <si>
    <t>2024-06-22</t>
  </si>
  <si>
    <t>LN0376</t>
  </si>
  <si>
    <t>CU2475</t>
  </si>
  <si>
    <t>LN0377</t>
  </si>
  <si>
    <t>CU7529</t>
  </si>
  <si>
    <t>2024-06-08</t>
  </si>
  <si>
    <t>LN0378</t>
  </si>
  <si>
    <t>CU2173</t>
  </si>
  <si>
    <t>LN0379</t>
  </si>
  <si>
    <t>2022-07-22</t>
  </si>
  <si>
    <t>LN0380</t>
  </si>
  <si>
    <t>CU3419</t>
  </si>
  <si>
    <t>2024-02-07</t>
  </si>
  <si>
    <t>LN0381</t>
  </si>
  <si>
    <t>CU9991</t>
  </si>
  <si>
    <t>LN0382</t>
  </si>
  <si>
    <t>CU1136</t>
  </si>
  <si>
    <t>LN0383</t>
  </si>
  <si>
    <t>CU8940</t>
  </si>
  <si>
    <t>LN0384</t>
  </si>
  <si>
    <t>CU9027</t>
  </si>
  <si>
    <t>LN0385</t>
  </si>
  <si>
    <t>CU1482</t>
  </si>
  <si>
    <t>LN0386</t>
  </si>
  <si>
    <t>CU6118</t>
  </si>
  <si>
    <t>LN0387</t>
  </si>
  <si>
    <t>CU3378</t>
  </si>
  <si>
    <t>2023-07-31</t>
  </si>
  <si>
    <t>LN0388</t>
  </si>
  <si>
    <t>CU5485</t>
  </si>
  <si>
    <t>LN0389</t>
  </si>
  <si>
    <t>CU6886</t>
  </si>
  <si>
    <t>2023-03-05</t>
  </si>
  <si>
    <t>LN0390</t>
  </si>
  <si>
    <t>CU1245</t>
  </si>
  <si>
    <t>LN0391</t>
  </si>
  <si>
    <t>CU5043</t>
  </si>
  <si>
    <t>LN0392</t>
  </si>
  <si>
    <t>CU1694</t>
  </si>
  <si>
    <t>LN0393</t>
  </si>
  <si>
    <t>CU1893</t>
  </si>
  <si>
    <t>LN0394</t>
  </si>
  <si>
    <t>CU3930</t>
  </si>
  <si>
    <t>LN0395</t>
  </si>
  <si>
    <t>CU2397</t>
  </si>
  <si>
    <t>LN0396</t>
  </si>
  <si>
    <t>CU3369</t>
  </si>
  <si>
    <t>LN0397</t>
  </si>
  <si>
    <t>CU5146</t>
  </si>
  <si>
    <t>LN0398</t>
  </si>
  <si>
    <t>CU2300</t>
  </si>
  <si>
    <t>LN0399</t>
  </si>
  <si>
    <t>CU5889</t>
  </si>
  <si>
    <t>LN0400</t>
  </si>
  <si>
    <t>CU2525</t>
  </si>
  <si>
    <t>LN0401</t>
  </si>
  <si>
    <t>CU5496</t>
  </si>
  <si>
    <t>LN0402</t>
  </si>
  <si>
    <t>CU6185</t>
  </si>
  <si>
    <t>LN0403</t>
  </si>
  <si>
    <t>CU8616</t>
  </si>
  <si>
    <t>LN0404</t>
  </si>
  <si>
    <t>CU5168</t>
  </si>
  <si>
    <t>LN0405</t>
  </si>
  <si>
    <t>CU6536</t>
  </si>
  <si>
    <t>LN0406</t>
  </si>
  <si>
    <t>CU1917</t>
  </si>
  <si>
    <t>LN0407</t>
  </si>
  <si>
    <t>CU6556</t>
  </si>
  <si>
    <t>LN0408</t>
  </si>
  <si>
    <t>CU2422</t>
  </si>
  <si>
    <t>LN0409</t>
  </si>
  <si>
    <t>CU8270</t>
  </si>
  <si>
    <t>LN0410</t>
  </si>
  <si>
    <t>CU2609</t>
  </si>
  <si>
    <t>2023-12-05</t>
  </si>
  <si>
    <t>LN0411</t>
  </si>
  <si>
    <t>CU1755</t>
  </si>
  <si>
    <t>LN0412</t>
  </si>
  <si>
    <t>CU3580</t>
  </si>
  <si>
    <t>2023-12-23</t>
  </si>
  <si>
    <t>2024-03-04</t>
  </si>
  <si>
    <t>LN0413</t>
  </si>
  <si>
    <t>CU6101</t>
  </si>
  <si>
    <t>LN0414</t>
  </si>
  <si>
    <t>CU8304</t>
  </si>
  <si>
    <t>2023-07-20</t>
  </si>
  <si>
    <t>LN0415</t>
  </si>
  <si>
    <t>CU8625</t>
  </si>
  <si>
    <t>LN0416</t>
  </si>
  <si>
    <t>CU8787</t>
  </si>
  <si>
    <t>LN0417</t>
  </si>
  <si>
    <t>CU2162</t>
  </si>
  <si>
    <t>LN0418</t>
  </si>
  <si>
    <t>CU8063</t>
  </si>
  <si>
    <t>2023-12-25</t>
  </si>
  <si>
    <t>LN0419</t>
  </si>
  <si>
    <t>CU6330</t>
  </si>
  <si>
    <t>LN0420</t>
  </si>
  <si>
    <t>CU2483</t>
  </si>
  <si>
    <t>2024-05-08</t>
  </si>
  <si>
    <t>LN0421</t>
  </si>
  <si>
    <t>CU4369</t>
  </si>
  <si>
    <t>LN0422</t>
  </si>
  <si>
    <t>CU3089</t>
  </si>
  <si>
    <t>LN0423</t>
  </si>
  <si>
    <t>CU7459</t>
  </si>
  <si>
    <t>2024-01-31</t>
  </si>
  <si>
    <t>LN0424</t>
  </si>
  <si>
    <t>CU6902</t>
  </si>
  <si>
    <t>2024-02-24</t>
  </si>
  <si>
    <t>LN0425</t>
  </si>
  <si>
    <t>CU2387</t>
  </si>
  <si>
    <t>LN0426</t>
  </si>
  <si>
    <t>CU7959</t>
  </si>
  <si>
    <t>LN0427</t>
  </si>
  <si>
    <t>CU2854</t>
  </si>
  <si>
    <t>LN0428</t>
  </si>
  <si>
    <t>CU2279</t>
  </si>
  <si>
    <t>LN0429</t>
  </si>
  <si>
    <t>CU6782</t>
  </si>
  <si>
    <t>2023-09-05</t>
  </si>
  <si>
    <t>LN0430</t>
  </si>
  <si>
    <t>CU1447</t>
  </si>
  <si>
    <t>LN0431</t>
  </si>
  <si>
    <t>CU2827</t>
  </si>
  <si>
    <t>LN0432</t>
  </si>
  <si>
    <t>CU3525</t>
  </si>
  <si>
    <t>LN0433</t>
  </si>
  <si>
    <t>CU2900</t>
  </si>
  <si>
    <t>LN0434</t>
  </si>
  <si>
    <t>CU9690</t>
  </si>
  <si>
    <t>LN0435</t>
  </si>
  <si>
    <t>CU8074</t>
  </si>
  <si>
    <t>LN0436</t>
  </si>
  <si>
    <t>CU1173</t>
  </si>
  <si>
    <t>LN0437</t>
  </si>
  <si>
    <t>2024-04-05</t>
  </si>
  <si>
    <t>LN0438</t>
  </si>
  <si>
    <t>CU8650</t>
  </si>
  <si>
    <t>LN0439</t>
  </si>
  <si>
    <t>CU1984</t>
  </si>
  <si>
    <t>LN0440</t>
  </si>
  <si>
    <t>CU4578</t>
  </si>
  <si>
    <t>LN0441</t>
  </si>
  <si>
    <t>CU1014</t>
  </si>
  <si>
    <t>LN0442</t>
  </si>
  <si>
    <t>CU2148</t>
  </si>
  <si>
    <t>LN0443</t>
  </si>
  <si>
    <t>CU2485</t>
  </si>
  <si>
    <t>2023-12-26</t>
  </si>
  <si>
    <t>LN0444</t>
  </si>
  <si>
    <t>CU7391</t>
  </si>
  <si>
    <t>LN0445</t>
  </si>
  <si>
    <t>CU2032</t>
  </si>
  <si>
    <t>2022-12-04</t>
  </si>
  <si>
    <t>LN0446</t>
  </si>
  <si>
    <t>CU8509</t>
  </si>
  <si>
    <t>LN0447</t>
  </si>
  <si>
    <t>CU3138</t>
  </si>
  <si>
    <t>LN0448</t>
  </si>
  <si>
    <t>CU4613</t>
  </si>
  <si>
    <t>LN0449</t>
  </si>
  <si>
    <t>CU6496</t>
  </si>
  <si>
    <t>2023-09-08</t>
  </si>
  <si>
    <t>LN0450</t>
  </si>
  <si>
    <t>CU7162</t>
  </si>
  <si>
    <t>LN0451</t>
  </si>
  <si>
    <t>CU4377</t>
  </si>
  <si>
    <t>2024-04-04</t>
  </si>
  <si>
    <t>LN0452</t>
  </si>
  <si>
    <t>CU5934</t>
  </si>
  <si>
    <t>LN0453</t>
  </si>
  <si>
    <t>CU4409</t>
  </si>
  <si>
    <t>LN0454</t>
  </si>
  <si>
    <t>CU8121</t>
  </si>
  <si>
    <t>LN0455</t>
  </si>
  <si>
    <t>CU4855</t>
  </si>
  <si>
    <t>LN0456</t>
  </si>
  <si>
    <t>CU4615</t>
  </si>
  <si>
    <t>LN0457</t>
  </si>
  <si>
    <t>CU3234</t>
  </si>
  <si>
    <t>LN0458</t>
  </si>
  <si>
    <t>CU8627</t>
  </si>
  <si>
    <t>2024-05-24</t>
  </si>
  <si>
    <t>LN0459</t>
  </si>
  <si>
    <t>CU9548</t>
  </si>
  <si>
    <t>2024-02-19</t>
  </si>
  <si>
    <t>LN0460</t>
  </si>
  <si>
    <t>CU3440</t>
  </si>
  <si>
    <t>2024-06-23</t>
  </si>
  <si>
    <t>LN0461</t>
  </si>
  <si>
    <t>CU8412</t>
  </si>
  <si>
    <t>LN0462</t>
  </si>
  <si>
    <t>CU3650</t>
  </si>
  <si>
    <t>2024-06-01</t>
  </si>
  <si>
    <t>LN0463</t>
  </si>
  <si>
    <t>CU2158</t>
  </si>
  <si>
    <t>LN0464</t>
  </si>
  <si>
    <t>CU1898</t>
  </si>
  <si>
    <t>LN0465</t>
  </si>
  <si>
    <t>CU4354</t>
  </si>
  <si>
    <t>2023-11-21</t>
  </si>
  <si>
    <t>LN0466</t>
  </si>
  <si>
    <t>CU7929</t>
  </si>
  <si>
    <t>LN0467</t>
  </si>
  <si>
    <t>CU5788</t>
  </si>
  <si>
    <t>LN0468</t>
  </si>
  <si>
    <t>CU2835</t>
  </si>
  <si>
    <t>LN0469</t>
  </si>
  <si>
    <t>CU1351</t>
  </si>
  <si>
    <t>LN0470</t>
  </si>
  <si>
    <t>CU9686</t>
  </si>
  <si>
    <t>LN0471</t>
  </si>
  <si>
    <t>CU8469</t>
  </si>
  <si>
    <t>LN0472</t>
  </si>
  <si>
    <t>CU7056</t>
  </si>
  <si>
    <t>LN0473</t>
  </si>
  <si>
    <t>CU7628</t>
  </si>
  <si>
    <t>LN0474</t>
  </si>
  <si>
    <t>CU3409</t>
  </si>
  <si>
    <t>2024-01-15</t>
  </si>
  <si>
    <t>LN0475</t>
  </si>
  <si>
    <t>CU6855</t>
  </si>
  <si>
    <t>2024-05-14</t>
  </si>
  <si>
    <t>LN0476</t>
  </si>
  <si>
    <t>CU9385</t>
  </si>
  <si>
    <t>LN0477</t>
  </si>
  <si>
    <t>LN0478</t>
  </si>
  <si>
    <t>CU7809</t>
  </si>
  <si>
    <t>2024-03-07</t>
  </si>
  <si>
    <t>LN0479</t>
  </si>
  <si>
    <t>CU2083</t>
  </si>
  <si>
    <t>LN0480</t>
  </si>
  <si>
    <t>CU9037</t>
  </si>
  <si>
    <t>2023-07-30</t>
  </si>
  <si>
    <t>LN0481</t>
  </si>
  <si>
    <t>CU5713</t>
  </si>
  <si>
    <t>LN0482</t>
  </si>
  <si>
    <t>CU5225</t>
  </si>
  <si>
    <t>2024-01-14</t>
  </si>
  <si>
    <t>LN0483</t>
  </si>
  <si>
    <t>CU3675</t>
  </si>
  <si>
    <t>2024-01-07</t>
  </si>
  <si>
    <t>LN0484</t>
  </si>
  <si>
    <t>LN0485</t>
  </si>
  <si>
    <t>CU5610</t>
  </si>
  <si>
    <t>LN0486</t>
  </si>
  <si>
    <t>CU2867</t>
  </si>
  <si>
    <t>LN0487</t>
  </si>
  <si>
    <t>CU9570</t>
  </si>
  <si>
    <t>2023-03-19</t>
  </si>
  <si>
    <t>LN0488</t>
  </si>
  <si>
    <t>CU2287</t>
  </si>
  <si>
    <t>LN0489</t>
  </si>
  <si>
    <t>CU8685</t>
  </si>
  <si>
    <t>LN0490</t>
  </si>
  <si>
    <t>CU1479</t>
  </si>
  <si>
    <t>2024-03-19</t>
  </si>
  <si>
    <t>LN0491</t>
  </si>
  <si>
    <t>CU1229</t>
  </si>
  <si>
    <t>2024-05-28</t>
  </si>
  <si>
    <t>LN0492</t>
  </si>
  <si>
    <t>CU4033</t>
  </si>
  <si>
    <t>LN0493</t>
  </si>
  <si>
    <t>CU9515</t>
  </si>
  <si>
    <t>LN0494</t>
  </si>
  <si>
    <t>CU8273</t>
  </si>
  <si>
    <t>LN0495</t>
  </si>
  <si>
    <t>CU9055</t>
  </si>
  <si>
    <t>LN0496</t>
  </si>
  <si>
    <t>CU4261</t>
  </si>
  <si>
    <t>LN0497</t>
  </si>
  <si>
    <t>CU7626</t>
  </si>
  <si>
    <t>LN0498</t>
  </si>
  <si>
    <t>CU9161</t>
  </si>
  <si>
    <t>LN0499</t>
  </si>
  <si>
    <t>CU9157</t>
  </si>
  <si>
    <t>LN0500</t>
  </si>
  <si>
    <t>CU8250</t>
  </si>
  <si>
    <t>KPI</t>
  </si>
  <si>
    <t>Total Loans</t>
  </si>
  <si>
    <t>Total Disbursed (₹)</t>
  </si>
  <si>
    <t>Total EMI Collected (₹)</t>
  </si>
  <si>
    <t>Active Loans</t>
  </si>
  <si>
    <t>Closed Loans</t>
  </si>
  <si>
    <t>Defaulted Loans</t>
  </si>
  <si>
    <t>Restructured Loans</t>
  </si>
  <si>
    <t>Default Rate (%)</t>
  </si>
  <si>
    <t>Avg Loan Amount (₹)</t>
  </si>
  <si>
    <t>Avg EMI (₹)</t>
  </si>
  <si>
    <t>Avg Credit Score</t>
  </si>
  <si>
    <t>Avg Interest Rate (%)</t>
  </si>
  <si>
    <t>Avg Tenure (Months)</t>
  </si>
  <si>
    <t>Total Recovery (₹)</t>
  </si>
  <si>
    <t>Recovery Rate (%)</t>
  </si>
  <si>
    <t>DPD 30+ Count</t>
  </si>
  <si>
    <t>Value</t>
  </si>
  <si>
    <t>Row Labels</t>
  </si>
  <si>
    <t>Grand Total</t>
  </si>
  <si>
    <t>Count of Loan_ID</t>
  </si>
  <si>
    <t>Sum of Loan_Amount</t>
  </si>
  <si>
    <t>Disbursment Month</t>
  </si>
  <si>
    <t>Column Labels</t>
  </si>
  <si>
    <t>Aug-23</t>
  </si>
  <si>
    <t>Jan-22</t>
  </si>
  <si>
    <t>Feb-22</t>
  </si>
  <si>
    <t>Mar-22</t>
  </si>
  <si>
    <t>Jul-23</t>
  </si>
  <si>
    <t>Jan-23</t>
  </si>
  <si>
    <t>Oct-22</t>
  </si>
  <si>
    <t>Jun-22</t>
  </si>
  <si>
    <t>Nov-22</t>
  </si>
  <si>
    <t>Sep-22</t>
  </si>
  <si>
    <t>Mar-23</t>
  </si>
  <si>
    <t>May-22</t>
  </si>
  <si>
    <t>Nov-23</t>
  </si>
  <si>
    <t>Apr-22</t>
  </si>
  <si>
    <t>Aug-22</t>
  </si>
  <si>
    <t>Jun-23</t>
  </si>
  <si>
    <t>Feb-23</t>
  </si>
  <si>
    <t>Apr-23</t>
  </si>
  <si>
    <t>Oct-23</t>
  </si>
  <si>
    <t>Dec-22</t>
  </si>
  <si>
    <t>Jul-22</t>
  </si>
  <si>
    <t>Dec-23</t>
  </si>
  <si>
    <t>May-23</t>
  </si>
  <si>
    <t>Sep-23</t>
  </si>
  <si>
    <t>LOAN DISBURSMENT PORTFOLIO DASHBOARD</t>
  </si>
  <si>
    <t>value out of pivot table</t>
  </si>
  <si>
    <t>Sum of Recovery_Amount</t>
  </si>
  <si>
    <t>Total Disbursment Amt</t>
  </si>
  <si>
    <t>Total Amount Recovered</t>
  </si>
  <si>
    <t>Average of Credit_Score</t>
  </si>
  <si>
    <t>Average Credit Score</t>
  </si>
  <si>
    <t>Average of EMI_Amount</t>
  </si>
  <si>
    <t xml:space="preserve">Average EMI </t>
  </si>
  <si>
    <t>Default Interest Rate</t>
  </si>
  <si>
    <t>Average of Default Interest Rate</t>
  </si>
  <si>
    <t>Average Default Rate</t>
  </si>
  <si>
    <t>Total Loans Applications</t>
  </si>
  <si>
    <t>Nov</t>
  </si>
  <si>
    <t>Dec</t>
  </si>
  <si>
    <t>MTD Measure</t>
  </si>
  <si>
    <t>PMTD Measure</t>
  </si>
  <si>
    <t>MOM = (MTD-PMTD)/PMTD</t>
  </si>
  <si>
    <t>MOM Measure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</si>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</sst>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820]#,##0"/>
    <numFmt numFmtId="165" formatCode="[$₹-820]#,##0.00"/>
    <numFmt numFmtId="166" formatCode="0.0%"/>
    <numFmt numFmtId="167" formatCode="dd\-mmm\-yyyy"/>
    <numFmt numFmtId="169" formatCode="\₹0.0,,&quot;M&quot;"/>
    <numFmt numFmtId="170" formatCode="0.0"/>
  </numFmts>
  <fonts count="8" x14ac:knownFonts="1">
    <font>
      <sz val="11"/>
      <color theme="1"/>
      <name val="Calibri"/>
      <family val="2"/>
      <scheme val="minor"/>
    </font>
    <font>
      <b/>
      <sz val="10"/>
      <color rgb="FFFFFFFF"/>
      <name val="Arial"/>
    </font>
    <font>
      <sz val="11"/>
      <color theme="1"/>
      <name val="Calibri"/>
      <family val="2"/>
      <scheme val="minor"/>
    </font>
    <font>
      <b/>
      <sz val="16"/>
      <color theme="1"/>
      <name val="Calibri"/>
      <family val="2"/>
      <scheme val="minor"/>
    </font>
    <font>
      <b/>
      <sz val="10"/>
      <color rgb="FFFFFFFF"/>
      <name val="Arial"/>
      <family val="2"/>
    </font>
    <font>
      <b/>
      <sz val="11"/>
      <color theme="1"/>
      <name val="Calibri"/>
      <family val="2"/>
      <scheme val="minor"/>
    </font>
    <font>
      <sz val="11"/>
      <color theme="1"/>
      <name val="Segoe UI Semibold"/>
      <family val="2"/>
    </font>
    <font>
      <b/>
      <sz val="28"/>
      <color theme="0"/>
      <name val="Lato Black"/>
      <family val="2"/>
    </font>
  </fonts>
  <fills count="9">
    <fill>
      <patternFill patternType="none"/>
    </fill>
    <fill>
      <patternFill patternType="gray125"/>
    </fill>
    <fill>
      <patternFill patternType="solid">
        <fgColor rgb="FF1B3A6B"/>
        <bgColor rgb="FF1B3A6B"/>
      </patternFill>
    </fill>
    <fill>
      <patternFill patternType="solid">
        <fgColor theme="3" tint="0.79998168889431442"/>
        <bgColor indexed="64"/>
      </patternFill>
    </fill>
    <fill>
      <patternFill patternType="solid">
        <fgColor theme="9"/>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2" fillId="0" borderId="0" applyFont="0" applyFill="0" applyBorder="0" applyAlignment="0" applyProtection="0"/>
  </cellStyleXfs>
  <cellXfs count="39">
    <xf numFmtId="0" fontId="0" fillId="0" borderId="0" xfId="0"/>
    <xf numFmtId="0" fontId="1" fillId="2" borderId="0" xfId="0" applyFont="1" applyFill="1" applyAlignment="1">
      <alignment horizontal="center" vertical="center"/>
    </xf>
    <xf numFmtId="0" fontId="0" fillId="0" borderId="1" xfId="0" applyBorder="1"/>
    <xf numFmtId="164" fontId="0" fillId="0" borderId="0" xfId="0" applyNumberFormat="1"/>
    <xf numFmtId="164" fontId="0" fillId="0" borderId="1" xfId="0" applyNumberFormat="1" applyBorder="1"/>
    <xf numFmtId="166" fontId="0" fillId="0" borderId="1" xfId="1" applyNumberFormat="1" applyFont="1" applyBorder="1"/>
    <xf numFmtId="165" fontId="0" fillId="0" borderId="1" xfId="0" applyNumberFormat="1" applyBorder="1"/>
    <xf numFmtId="0" fontId="0" fillId="0" borderId="0" xfId="0" pivotButton="1"/>
    <xf numFmtId="0" fontId="0" fillId="0" borderId="0" xfId="0" applyAlignment="1">
      <alignment horizontal="left"/>
    </xf>
    <xf numFmtId="14" fontId="4" fillId="2" borderId="0" xfId="0" applyNumberFormat="1" applyFont="1" applyFill="1" applyAlignment="1">
      <alignment horizontal="center" vertical="center"/>
    </xf>
    <xf numFmtId="14" fontId="0" fillId="0" borderId="0" xfId="0" applyNumberFormat="1"/>
    <xf numFmtId="14" fontId="1" fillId="2" borderId="0" xfId="0" applyNumberFormat="1" applyFont="1" applyFill="1" applyAlignment="1">
      <alignment horizontal="center" vertical="center"/>
    </xf>
    <xf numFmtId="167" fontId="0" fillId="0" borderId="0" xfId="0" applyNumberFormat="1"/>
    <xf numFmtId="0" fontId="0" fillId="4" borderId="0" xfId="0" applyFill="1"/>
    <xf numFmtId="0" fontId="0" fillId="3" borderId="1" xfId="0" applyFill="1" applyBorder="1"/>
    <xf numFmtId="0" fontId="3" fillId="5" borderId="1" xfId="0" applyFont="1" applyFill="1" applyBorder="1" applyAlignment="1">
      <alignment horizontal="center" vertical="center"/>
    </xf>
    <xf numFmtId="0" fontId="0" fillId="0" borderId="0" xfId="0" applyNumberFormat="1"/>
    <xf numFmtId="0" fontId="5" fillId="6" borderId="0" xfId="0" applyFont="1" applyFill="1"/>
    <xf numFmtId="0" fontId="5" fillId="6" borderId="1" xfId="0" applyFont="1" applyFill="1" applyBorder="1"/>
    <xf numFmtId="0" fontId="0" fillId="0" borderId="1" xfId="0" applyNumberFormat="1" applyBorder="1"/>
    <xf numFmtId="0" fontId="0" fillId="0" borderId="1" xfId="0" pivotButton="1" applyBorder="1"/>
    <xf numFmtId="0" fontId="5" fillId="6" borderId="2" xfId="0" applyFont="1" applyFill="1" applyBorder="1"/>
    <xf numFmtId="0" fontId="4" fillId="2" borderId="0" xfId="0" applyFont="1" applyFill="1" applyAlignment="1">
      <alignment horizontal="center" vertical="center"/>
    </xf>
    <xf numFmtId="166" fontId="0" fillId="0" borderId="0" xfId="1" applyNumberFormat="1" applyFont="1"/>
    <xf numFmtId="166" fontId="0" fillId="0" borderId="1" xfId="0" applyNumberFormat="1" applyBorder="1"/>
    <xf numFmtId="169" fontId="0" fillId="0" borderId="1" xfId="0" applyNumberFormat="1" applyBorder="1"/>
    <xf numFmtId="10" fontId="0" fillId="0" borderId="1" xfId="0" applyNumberFormat="1" applyBorder="1"/>
    <xf numFmtId="170" fontId="0" fillId="0" borderId="1" xfId="0" applyNumberFormat="1" applyBorder="1"/>
    <xf numFmtId="0" fontId="5" fillId="7" borderId="1" xfId="0" applyFont="1" applyFill="1" applyBorder="1"/>
    <xf numFmtId="0" fontId="0" fillId="0" borderId="0" xfId="0" applyNumberFormat="1" applyBorder="1"/>
    <xf numFmtId="169" fontId="0" fillId="0" borderId="0" xfId="0" applyNumberFormat="1" applyBorder="1"/>
    <xf numFmtId="170" fontId="0" fillId="0" borderId="0" xfId="0" applyNumberFormat="1" applyBorder="1"/>
    <xf numFmtId="10" fontId="0" fillId="0" borderId="0" xfId="0" applyNumberFormat="1" applyBorder="1"/>
    <xf numFmtId="0" fontId="0" fillId="0" borderId="1" xfId="0" applyBorder="1" applyAlignment="1">
      <alignment horizontal="left"/>
    </xf>
    <xf numFmtId="2" fontId="0" fillId="0" borderId="1" xfId="0" applyNumberFormat="1" applyBorder="1"/>
    <xf numFmtId="0" fontId="7" fillId="8" borderId="0" xfId="0" applyFont="1" applyFill="1" applyAlignment="1">
      <alignment horizontal="center"/>
    </xf>
    <xf numFmtId="0" fontId="0" fillId="8" borderId="0" xfId="0" applyFill="1"/>
    <xf numFmtId="0" fontId="6" fillId="8" borderId="0" xfId="0" applyFont="1" applyFill="1"/>
    <xf numFmtId="0" fontId="0" fillId="8" borderId="0" xfId="0" applyFont="1" applyFill="1"/>
  </cellXfs>
  <cellStyles count="2">
    <cellStyle name="Normal" xfId="0" builtinId="0"/>
    <cellStyle name="Percent" xfId="1" builtinId="5"/>
  </cellStyles>
  <dxfs count="756">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4" formatCode="[$₹-82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69" formatCode="\₹0.0,,&quot;M&quot;"/>
    </dxf>
    <dxf>
      <numFmt numFmtId="169" formatCode="\₹0.0,,&quot;M&quot;"/>
    </dxf>
    <dxf>
      <numFmt numFmtId="2" formatCode="0.00"/>
    </dxf>
    <dxf>
      <numFmt numFmtId="2" formatCode="0.00"/>
    </dxf>
    <dxf>
      <numFmt numFmtId="169" formatCode="\₹0.0,,&quot;M&quot;"/>
    </dxf>
    <dxf>
      <numFmt numFmtId="169" formatCode="\₹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
    </dxf>
    <dxf>
      <numFmt numFmtId="14" formatCode="0.00%"/>
    </dxf>
    <dxf>
      <numFmt numFmtId="14" formatCode="0.00%"/>
    </dxf>
    <dxf>
      <numFmt numFmtId="14" formatCode="0.00%"/>
    </dxf>
    <dxf>
      <numFmt numFmtId="170" formatCode="0.0"/>
    </dxf>
    <dxf>
      <numFmt numFmtId="170"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4" formatCode="[$₹-820]#,##0"/>
    </dxf>
    <dxf>
      <numFmt numFmtId="19" formatCode="dd/mm/yyyy"/>
    </dxf>
    <dxf>
      <numFmt numFmtId="167" formatCode="dd\-mmm\-yyyy"/>
    </dxf>
    <dxf>
      <font>
        <b/>
        <i val="0"/>
        <strike val="0"/>
        <condense val="0"/>
        <extend val="0"/>
        <outline val="0"/>
        <shadow val="0"/>
        <u val="none"/>
        <vertAlign val="baseline"/>
        <sz val="10"/>
        <color rgb="FFFFFFFF"/>
        <name val="Arial"/>
        <scheme val="none"/>
      </font>
      <fill>
        <patternFill patternType="solid">
          <fgColor rgb="FF1B3A6B"/>
          <bgColor rgb="FF1B3A6B"/>
        </patternFill>
      </fill>
      <alignment horizontal="center" vertical="center" textRotation="0" wrapText="0" indent="0" justifyLastLine="0" shrinkToFit="0" readingOrder="0"/>
    </dxf>
    <dxf>
      <font>
        <b/>
        <i val="0"/>
        <sz val="12"/>
        <color theme="0"/>
        <name val="Calibri"/>
        <family val="2"/>
        <scheme val="minor"/>
      </font>
      <border>
        <left style="thin">
          <color auto="1"/>
        </left>
        <right style="thin">
          <color auto="1"/>
        </right>
        <top style="thin">
          <color auto="1"/>
        </top>
        <bottom style="thin">
          <color auto="1"/>
        </bottom>
      </border>
    </dxf>
    <dxf>
      <font>
        <b/>
        <i val="0"/>
        <sz val="12"/>
        <color theme="9"/>
        <name val="Calibri"/>
        <family val="2"/>
        <scheme val="minor"/>
      </font>
      <fill>
        <patternFill>
          <bgColor theme="3"/>
        </patternFill>
      </fill>
    </dxf>
    <dxf>
      <font>
        <b/>
        <i val="0"/>
        <sz val="11"/>
        <color theme="0"/>
        <name val="Calibri"/>
        <family val="2"/>
        <scheme val="minor"/>
      </font>
      <border>
        <left style="thin">
          <color auto="1"/>
        </left>
        <right style="thin">
          <color auto="1"/>
        </right>
        <top style="thin">
          <color auto="1"/>
        </top>
        <bottom style="thin">
          <color auto="1"/>
        </bottom>
      </border>
    </dxf>
    <dxf>
      <font>
        <b/>
        <i val="0"/>
        <sz val="14"/>
        <color theme="0"/>
        <name val="Calibri"/>
        <family val="2"/>
        <scheme val="minor"/>
      </font>
      <fill>
        <patternFill patternType="solid">
          <fgColor theme="0"/>
          <bgColor theme="3"/>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9" defaultPivotStyle="PivotStyleLight16">
    <tableStyle name="loan timeline" pivot="0" table="0" count="8" xr9:uid="{AAF4CBFD-C272-443F-9716-2815900BFD70}">
      <tableStyleElement type="wholeTable" dxfId="755"/>
      <tableStyleElement type="headerRow" dxfId="754"/>
    </tableStyle>
    <tableStyle name="Slicer Style 1" pivot="0" table="0" count="6" xr9:uid="{F8BDD09C-D8EA-49C9-841A-04B1081A984E}">
      <tableStyleElement type="wholeTable" dxfId="753"/>
      <tableStyleElement type="headerRow" dxfId="752"/>
    </tableStyle>
  </tableStyles>
  <colors>
    <mruColors>
      <color rgb="FF1B3A6B"/>
    </mruColors>
  </colors>
  <extLst>
    <ext xmlns:x14="http://schemas.microsoft.com/office/spreadsheetml/2009/9/main" uri="{46F421CA-312F-682f-3DD2-61675219B42D}">
      <x14:dxfs count="4">
        <dxf>
          <font>
            <b/>
            <i val="0"/>
            <sz val="12"/>
            <color theme="3" tint="0.59996337778862885"/>
            <name val="Calibri"/>
            <family val="2"/>
            <scheme val="minor"/>
          </font>
          <border>
            <left style="thin">
              <color auto="1"/>
            </left>
            <right style="thin">
              <color auto="1"/>
            </right>
            <top style="thin">
              <color auto="1"/>
            </top>
            <bottom style="thin">
              <color auto="1"/>
            </bottom>
          </border>
        </dxf>
        <dxf>
          <font>
            <b/>
            <i val="0"/>
            <sz val="12"/>
            <color theme="0"/>
            <name val="Calibri"/>
            <family val="2"/>
            <scheme val="minor"/>
          </font>
          <fill>
            <patternFill>
              <bgColor theme="9"/>
            </patternFill>
          </fill>
          <border>
            <left style="thin">
              <color auto="1"/>
            </left>
            <right style="thin">
              <color auto="1"/>
            </right>
            <top style="thin">
              <color auto="1"/>
            </top>
            <bottom style="thin">
              <color auto="1"/>
            </bottom>
          </border>
        </dxf>
        <dxf>
          <font>
            <b/>
            <i val="0"/>
            <sz val="12"/>
            <color theme="0"/>
            <name val="Calibri"/>
            <family val="2"/>
            <scheme val="minor"/>
          </font>
          <border>
            <left style="thin">
              <color auto="1"/>
            </left>
            <right style="thin">
              <color auto="1"/>
            </right>
            <top style="thin">
              <color auto="1"/>
            </top>
            <bottom style="thin">
              <color auto="1"/>
            </bottom>
          </border>
        </dxf>
        <dxf>
          <font>
            <b/>
            <i val="0"/>
            <sz val="12"/>
            <color theme="4" tint="0.39994506668294322"/>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8764000366222"/>
              <bgColor theme="0"/>
            </patternFill>
          </fill>
          <border>
            <left style="thin">
              <color auto="1"/>
            </left>
            <right style="thin">
              <color auto="1"/>
            </right>
            <top style="thin">
              <color auto="1"/>
            </top>
            <bottom style="thin">
              <color auto="1"/>
            </bottom>
          </border>
        </dxf>
        <dxf>
          <fill>
            <patternFill patternType="solid">
              <fgColor theme="0"/>
              <bgColor theme="9"/>
            </patternFill>
          </fill>
          <border>
            <left style="thin">
              <color auto="1"/>
            </left>
            <right style="thin">
              <color auto="1"/>
            </right>
            <top style="thin">
              <color auto="1"/>
            </top>
            <bottom style="thin">
              <color auto="1"/>
            </bottom>
          </border>
        </dxf>
        <dxf>
          <font>
            <b/>
            <i val="0"/>
            <sz val="11"/>
            <color theme="0"/>
            <name val="Calibri"/>
            <family val="2"/>
            <scheme val="minor"/>
          </font>
        </dxf>
        <dxf>
          <font>
            <b/>
            <i val="0"/>
            <sz val="11"/>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loan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Tables!Monthly Loan Trend</c:name>
    <c:fmtId val="5"/>
  </c:pivotSource>
  <c:chart>
    <c:title>
      <c:tx>
        <c:rich>
          <a:bodyPr rot="0" spcFirstLastPara="1" vertOverflow="ellipsis" vert="horz" wrap="square" anchor="ctr" anchorCtr="1"/>
          <a:lstStyle/>
          <a:p>
            <a:pPr>
              <a:defRPr sz="1400" b="1" i="0" u="none" strike="noStrike" kern="1200" cap="none" spc="20" baseline="0">
                <a:solidFill>
                  <a:schemeClr val="bg1"/>
                </a:solidFill>
                <a:latin typeface="+mn-lt"/>
                <a:ea typeface="+mn-ea"/>
                <a:cs typeface="+mn-cs"/>
              </a:defRPr>
            </a:pPr>
            <a:r>
              <a:rPr lang="en-GB" sz="1100" b="1">
                <a:solidFill>
                  <a:schemeClr val="bg1"/>
                </a:solidFill>
              </a:rPr>
              <a:t>Monthly Disbursment</a:t>
            </a:r>
            <a:r>
              <a:rPr lang="en-GB" sz="1100" b="1" baseline="0">
                <a:solidFill>
                  <a:schemeClr val="bg1"/>
                </a:solidFill>
              </a:rPr>
              <a:t> Trend</a:t>
            </a:r>
            <a:endParaRPr lang="en-US" sz="1100" b="1">
              <a:solidFill>
                <a:schemeClr val="bg1"/>
              </a:solidFill>
            </a:endParaRPr>
          </a:p>
        </c:rich>
      </c:tx>
      <c:layout>
        <c:manualLayout>
          <c:xMode val="edge"/>
          <c:yMode val="edge"/>
          <c:x val="3.3042881618633578E-2"/>
          <c:y val="3.1184480581960636E-2"/>
        </c:manualLayout>
      </c:layout>
      <c:overlay val="0"/>
      <c:spPr>
        <a:solidFill>
          <a:schemeClr val="tx2"/>
        </a:solidFill>
        <a:ln>
          <a:noFill/>
        </a:ln>
        <a:effectLst/>
      </c:spPr>
      <c:txPr>
        <a:bodyPr rot="0" spcFirstLastPara="1" vertOverflow="ellipsis" vert="horz" wrap="square" anchor="ctr" anchorCtr="1"/>
        <a:lstStyle/>
        <a:p>
          <a:pPr>
            <a:defRPr sz="1400" b="1"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c:f>
              <c:strCache>
                <c:ptCount val="1"/>
                <c:pt idx="0">
                  <c:v>Total</c:v>
                </c:pt>
              </c:strCache>
            </c:strRef>
          </c:tx>
          <c:spPr>
            <a:ln w="22225" cap="rnd" cmpd="sng" algn="ctr">
              <a:solidFill>
                <a:schemeClr val="accent6"/>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movingAvg"/>
            <c:period val="2"/>
            <c:dispRSqr val="0"/>
            <c:dispEq val="0"/>
          </c:trendline>
          <c:trendline>
            <c:spPr>
              <a:ln w="9525" cap="rnd">
                <a:solidFill>
                  <a:schemeClr val="tx2">
                    <a:lumMod val="40000"/>
                    <a:lumOff val="60000"/>
                    <a:alpha val="89000"/>
                  </a:schemeClr>
                </a:solidFill>
              </a:ln>
              <a:effectLst/>
            </c:spPr>
            <c:trendlineType val="movingAvg"/>
            <c:period val="2"/>
            <c:dispRSqr val="0"/>
            <c:dispEq val="0"/>
          </c:trendline>
          <c:cat>
            <c:strRef>
              <c:f>'Pivot Tables'!$A$36:$A$60</c:f>
              <c:strCache>
                <c:ptCount val="24"/>
                <c:pt idx="0">
                  <c:v>Apr-22</c:v>
                </c:pt>
                <c:pt idx="1">
                  <c:v>Apr-23</c:v>
                </c:pt>
                <c:pt idx="2">
                  <c:v>Aug-22</c:v>
                </c:pt>
                <c:pt idx="3">
                  <c:v>Aug-23</c:v>
                </c:pt>
                <c:pt idx="4">
                  <c:v>Dec-22</c:v>
                </c:pt>
                <c:pt idx="5">
                  <c:v>Dec-23</c:v>
                </c:pt>
                <c:pt idx="6">
                  <c:v>Feb-22</c:v>
                </c:pt>
                <c:pt idx="7">
                  <c:v>Feb-23</c:v>
                </c:pt>
                <c:pt idx="8">
                  <c:v>Jan-22</c:v>
                </c:pt>
                <c:pt idx="9">
                  <c:v>Jan-23</c:v>
                </c:pt>
                <c:pt idx="10">
                  <c:v>Jul-22</c:v>
                </c:pt>
                <c:pt idx="11">
                  <c:v>Jul-23</c:v>
                </c:pt>
                <c:pt idx="12">
                  <c:v>Jun-22</c:v>
                </c:pt>
                <c:pt idx="13">
                  <c:v>Jun-23</c:v>
                </c:pt>
                <c:pt idx="14">
                  <c:v>Mar-22</c:v>
                </c:pt>
                <c:pt idx="15">
                  <c:v>Mar-23</c:v>
                </c:pt>
                <c:pt idx="16">
                  <c:v>May-22</c:v>
                </c:pt>
                <c:pt idx="17">
                  <c:v>May-23</c:v>
                </c:pt>
                <c:pt idx="18">
                  <c:v>Nov-22</c:v>
                </c:pt>
                <c:pt idx="19">
                  <c:v>Nov-23</c:v>
                </c:pt>
                <c:pt idx="20">
                  <c:v>Oct-22</c:v>
                </c:pt>
                <c:pt idx="21">
                  <c:v>Oct-23</c:v>
                </c:pt>
                <c:pt idx="22">
                  <c:v>Sep-22</c:v>
                </c:pt>
                <c:pt idx="23">
                  <c:v>Sep-23</c:v>
                </c:pt>
              </c:strCache>
            </c:strRef>
          </c:cat>
          <c:val>
            <c:numRef>
              <c:f>'Pivot Tables'!$B$36:$B$60</c:f>
              <c:numCache>
                <c:formatCode>General</c:formatCode>
                <c:ptCount val="24"/>
                <c:pt idx="0">
                  <c:v>5427241</c:v>
                </c:pt>
                <c:pt idx="1">
                  <c:v>6141576</c:v>
                </c:pt>
                <c:pt idx="2">
                  <c:v>3451968</c:v>
                </c:pt>
                <c:pt idx="3">
                  <c:v>9371827</c:v>
                </c:pt>
                <c:pt idx="4">
                  <c:v>3404028</c:v>
                </c:pt>
                <c:pt idx="5">
                  <c:v>4395451</c:v>
                </c:pt>
                <c:pt idx="6">
                  <c:v>4338910</c:v>
                </c:pt>
                <c:pt idx="7">
                  <c:v>5852558</c:v>
                </c:pt>
                <c:pt idx="8">
                  <c:v>3062967</c:v>
                </c:pt>
                <c:pt idx="9">
                  <c:v>4208620</c:v>
                </c:pt>
                <c:pt idx="10">
                  <c:v>4163921</c:v>
                </c:pt>
                <c:pt idx="11">
                  <c:v>4331510</c:v>
                </c:pt>
                <c:pt idx="12">
                  <c:v>4496488</c:v>
                </c:pt>
                <c:pt idx="13">
                  <c:v>4636739</c:v>
                </c:pt>
                <c:pt idx="14">
                  <c:v>5058071</c:v>
                </c:pt>
                <c:pt idx="15">
                  <c:v>5841676</c:v>
                </c:pt>
                <c:pt idx="16">
                  <c:v>5085078</c:v>
                </c:pt>
                <c:pt idx="17">
                  <c:v>2980725</c:v>
                </c:pt>
                <c:pt idx="18">
                  <c:v>5765954</c:v>
                </c:pt>
                <c:pt idx="19">
                  <c:v>6706083</c:v>
                </c:pt>
                <c:pt idx="20">
                  <c:v>5190505</c:v>
                </c:pt>
                <c:pt idx="21">
                  <c:v>8867146</c:v>
                </c:pt>
                <c:pt idx="22">
                  <c:v>4555826</c:v>
                </c:pt>
                <c:pt idx="23">
                  <c:v>3877662</c:v>
                </c:pt>
              </c:numCache>
            </c:numRef>
          </c:val>
          <c:smooth val="0"/>
          <c:extLst>
            <c:ext xmlns:c16="http://schemas.microsoft.com/office/drawing/2014/chart" uri="{C3380CC4-5D6E-409C-BE32-E72D297353CC}">
              <c16:uniqueId val="{00000000-A232-47AC-8B4C-FD06E22EC4E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56879647"/>
        <c:axId val="1456880127"/>
      </c:lineChart>
      <c:catAx>
        <c:axId val="14568796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lumMod val="85000"/>
                  </a:schemeClr>
                </a:solidFill>
                <a:latin typeface="+mn-lt"/>
                <a:ea typeface="+mn-ea"/>
                <a:cs typeface="+mn-cs"/>
              </a:defRPr>
            </a:pPr>
            <a:endParaRPr lang="en-US"/>
          </a:p>
        </c:txPr>
        <c:crossAx val="1456880127"/>
        <c:crosses val="autoZero"/>
        <c:auto val="1"/>
        <c:lblAlgn val="ctr"/>
        <c:lblOffset val="100"/>
        <c:noMultiLvlLbl val="0"/>
      </c:catAx>
      <c:valAx>
        <c:axId val="145688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lumMod val="85000"/>
                  </a:schemeClr>
                </a:solidFill>
                <a:latin typeface="+mn-lt"/>
                <a:ea typeface="+mn-ea"/>
                <a:cs typeface="+mn-cs"/>
              </a:defRPr>
            </a:pPr>
            <a:endParaRPr lang="en-US"/>
          </a:p>
        </c:txPr>
        <c:crossAx val="1456879647"/>
        <c:crosses val="autoZero"/>
        <c:crossBetween val="between"/>
      </c:valAx>
      <c:spPr>
        <a:solidFill>
          <a:schemeClr val="tx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Tables!Loan status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1" u="none" strike="noStrike" baseline="0">
                <a:solidFill>
                  <a:schemeClr val="bg1">
                    <a:lumMod val="85000"/>
                  </a:schemeClr>
                </a:solidFill>
              </a:rPr>
              <a:t>Loan Status Mix</a:t>
            </a:r>
            <a:endParaRPr lang="en-US" sz="1200" b="1" i="1">
              <a:solidFill>
                <a:schemeClr val="bg1">
                  <a:lumMod val="85000"/>
                </a:schemeClr>
              </a:solidFill>
            </a:endParaRPr>
          </a:p>
        </c:rich>
      </c:tx>
      <c:layout>
        <c:manualLayout>
          <c:xMode val="edge"/>
          <c:yMode val="edge"/>
          <c:x val="2.3938144089181372E-2"/>
          <c:y val="2.4604535371441302E-2"/>
        </c:manualLayout>
      </c:layout>
      <c:overlay val="0"/>
      <c:spPr>
        <a:solidFill>
          <a:srgbClr val="1B3A6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
        <c:idx val="10"/>
        <c:spPr>
          <a:solidFill>
            <a:schemeClr val="accent1"/>
          </a:solidFill>
          <a:ln w="19050">
            <a:solidFill>
              <a:schemeClr val="lt1"/>
            </a:solidFill>
          </a:ln>
          <a:effectLst>
            <a:softEdge rad="444500"/>
          </a:effectLst>
          <a:scene3d>
            <a:camera prst="orthographicFront"/>
            <a:lightRig rig="threePt" dir="t"/>
          </a:scene3d>
          <a:sp3d>
            <a:bevelT w="57150" h="114300"/>
            <a:bevelB w="44450" h="1079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40000"/>
              <a:lumOff val="60000"/>
            </a:schemeClr>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000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6"/>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s>
    <c:plotArea>
      <c:layout/>
      <c:doughnutChart>
        <c:varyColors val="1"/>
        <c:ser>
          <c:idx val="0"/>
          <c:order val="0"/>
          <c:tx>
            <c:strRef>
              <c:f>'Pivot Tables'!$B$1</c:f>
              <c:strCache>
                <c:ptCount val="1"/>
                <c:pt idx="0">
                  <c:v>Total</c:v>
                </c:pt>
              </c:strCache>
            </c:strRef>
          </c:tx>
          <c:spPr>
            <a:effectLst>
              <a:softEdge rad="444500"/>
            </a:effectLst>
            <a:scene3d>
              <a:camera prst="orthographicFront"/>
              <a:lightRig rig="threePt" dir="t"/>
            </a:scene3d>
            <a:sp3d>
              <a:bevelT w="57150" h="114300"/>
              <a:bevelB w="44450" h="107950"/>
            </a:sp3d>
          </c:spPr>
          <c:dPt>
            <c:idx val="0"/>
            <c:bubble3D val="0"/>
            <c:spPr>
              <a:solidFill>
                <a:schemeClr val="tx2">
                  <a:lumMod val="40000"/>
                  <a:lumOff val="60000"/>
                </a:schemeClr>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1-5165-490C-8747-F70221FD8119}"/>
              </c:ext>
            </c:extLst>
          </c:dPt>
          <c:dPt>
            <c:idx val="1"/>
            <c:bubble3D val="0"/>
            <c:spPr>
              <a:solidFill>
                <a:srgbClr val="00B050"/>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3-5165-490C-8747-F70221FD8119}"/>
              </c:ext>
            </c:extLst>
          </c:dPt>
          <c:dPt>
            <c:idx val="2"/>
            <c:bubble3D val="0"/>
            <c:spPr>
              <a:solidFill>
                <a:srgbClr val="FF0000"/>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5-5165-490C-8747-F70221FD8119}"/>
              </c:ext>
            </c:extLst>
          </c:dPt>
          <c:dPt>
            <c:idx val="3"/>
            <c:bubble3D val="0"/>
            <c:spPr>
              <a:solidFill>
                <a:schemeClr val="accent6"/>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7-5165-490C-8747-F70221FD8119}"/>
              </c:ext>
            </c:extLst>
          </c:dPt>
          <c:dLbls>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165-490C-8747-F70221FD8119}"/>
                </c:ext>
              </c:extLst>
            </c:dLbl>
            <c:dLbl>
              <c:idx val="1"/>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165-490C-8747-F70221FD8119}"/>
                </c:ext>
              </c:extLst>
            </c:dLbl>
            <c:dLbl>
              <c:idx val="2"/>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5165-490C-8747-F70221FD8119}"/>
                </c:ext>
              </c:extLst>
            </c:dLbl>
            <c:dLbl>
              <c:idx val="3"/>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 xmlns:c16="http://schemas.microsoft.com/office/drawing/2014/chart" uri="{C3380CC4-5D6E-409C-BE32-E72D297353CC}">
                  <c16:uniqueId val="{00000007-5165-490C-8747-F70221FD81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Tables'!$A$2:$A$6</c:f>
              <c:strCache>
                <c:ptCount val="4"/>
                <c:pt idx="0">
                  <c:v>Active</c:v>
                </c:pt>
                <c:pt idx="1">
                  <c:v>Closed</c:v>
                </c:pt>
                <c:pt idx="2">
                  <c:v>Defaulted</c:v>
                </c:pt>
                <c:pt idx="3">
                  <c:v>Restructured</c:v>
                </c:pt>
              </c:strCache>
            </c:strRef>
          </c:cat>
          <c:val>
            <c:numRef>
              <c:f>'Pivot Tables'!$B$2:$B$6</c:f>
              <c:numCache>
                <c:formatCode>General</c:formatCode>
                <c:ptCount val="4"/>
                <c:pt idx="0">
                  <c:v>128</c:v>
                </c:pt>
                <c:pt idx="1">
                  <c:v>127</c:v>
                </c:pt>
                <c:pt idx="2">
                  <c:v>124</c:v>
                </c:pt>
                <c:pt idx="3">
                  <c:v>121</c:v>
                </c:pt>
              </c:numCache>
            </c:numRef>
          </c:val>
          <c:extLst>
            <c:ext xmlns:c16="http://schemas.microsoft.com/office/drawing/2014/chart" uri="{C3380CC4-5D6E-409C-BE32-E72D297353CC}">
              <c16:uniqueId val="{00000008-5165-490C-8747-F70221FD811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Tables!Loan Purpose</c:name>
    <c:fmtId val="5"/>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GB" sz="1200" b="1" i="1" u="none" strike="noStrike" baseline="0">
                <a:solidFill>
                  <a:schemeClr val="bg1">
                    <a:lumMod val="85000"/>
                  </a:schemeClr>
                </a:solidFill>
              </a:rPr>
              <a:t>Loan Purpose Analysis</a:t>
            </a:r>
            <a:endParaRPr lang="en-US" sz="1200" b="1" i="1">
              <a:solidFill>
                <a:schemeClr val="bg1">
                  <a:lumMod val="85000"/>
                </a:schemeClr>
              </a:solidFill>
            </a:endParaRPr>
          </a:p>
        </c:rich>
      </c:tx>
      <c:layout>
        <c:manualLayout>
          <c:xMode val="edge"/>
          <c:yMode val="edge"/>
          <c:x val="2.8192053117648823E-2"/>
          <c:y val="2.0666662598425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6">
              <a:lumMod val="75000"/>
            </a:schemeClr>
          </a:solidFill>
          <a:ln>
            <a:noFill/>
          </a:ln>
          <a:effectLst/>
        </c:spPr>
      </c:pivotFmt>
      <c:pivotFmt>
        <c:idx val="5"/>
        <c:spPr>
          <a:solidFill>
            <a:srgbClr val="92D050"/>
          </a:solidFill>
          <a:ln>
            <a:noFill/>
          </a:ln>
          <a:effectLst/>
        </c:spPr>
      </c:pivotFmt>
      <c:pivotFmt>
        <c:idx val="6"/>
        <c:spPr>
          <a:solidFill>
            <a:schemeClr val="tx2">
              <a:lumMod val="40000"/>
              <a:lumOff val="60000"/>
            </a:schemeClr>
          </a:solidFill>
          <a:ln>
            <a:noFill/>
          </a:ln>
          <a:effectLst/>
        </c:spPr>
      </c:pivotFmt>
      <c:pivotFmt>
        <c:idx val="7"/>
        <c:spPr>
          <a:solidFill>
            <a:schemeClr val="accent4"/>
          </a:solidFill>
          <a:ln>
            <a:noFill/>
          </a:ln>
          <a:effectLst/>
        </c:spPr>
      </c:pivotFmt>
    </c:pivotFmts>
    <c:plotArea>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23E0-44BA-AF61-A01556AF7F4F}"/>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23E0-44BA-AF61-A01556AF7F4F}"/>
              </c:ext>
            </c:extLst>
          </c:dPt>
          <c:dPt>
            <c:idx val="2"/>
            <c:invertIfNegative val="0"/>
            <c:bubble3D val="0"/>
            <c:spPr>
              <a:solidFill>
                <a:srgbClr val="92D050"/>
              </a:solidFill>
              <a:ln>
                <a:noFill/>
              </a:ln>
              <a:effectLst/>
            </c:spPr>
            <c:extLst>
              <c:ext xmlns:c16="http://schemas.microsoft.com/office/drawing/2014/chart" uri="{C3380CC4-5D6E-409C-BE32-E72D297353CC}">
                <c16:uniqueId val="{00000003-23E0-44BA-AF61-A01556AF7F4F}"/>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4-23E0-44BA-AF61-A01556AF7F4F}"/>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5-23E0-44BA-AF61-A01556AF7F4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Tables'!$A$11:$A$16</c:f>
              <c:strCache>
                <c:ptCount val="5"/>
                <c:pt idx="0">
                  <c:v>Business</c:v>
                </c:pt>
                <c:pt idx="1">
                  <c:v>Education</c:v>
                </c:pt>
                <c:pt idx="2">
                  <c:v>Travel</c:v>
                </c:pt>
                <c:pt idx="3">
                  <c:v>Medical</c:v>
                </c:pt>
                <c:pt idx="4">
                  <c:v>Shopping</c:v>
                </c:pt>
              </c:strCache>
            </c:strRef>
          </c:cat>
          <c:val>
            <c:numRef>
              <c:f>'Pivot Tables'!$B$11:$B$16</c:f>
              <c:numCache>
                <c:formatCode>[$₹-820]#,##0</c:formatCode>
                <c:ptCount val="5"/>
                <c:pt idx="0">
                  <c:v>27542872</c:v>
                </c:pt>
                <c:pt idx="1">
                  <c:v>26056082</c:v>
                </c:pt>
                <c:pt idx="2">
                  <c:v>24263898</c:v>
                </c:pt>
                <c:pt idx="3">
                  <c:v>23346728</c:v>
                </c:pt>
                <c:pt idx="4">
                  <c:v>20002950</c:v>
                </c:pt>
              </c:numCache>
            </c:numRef>
          </c:val>
          <c:extLst>
            <c:ext xmlns:c16="http://schemas.microsoft.com/office/drawing/2014/chart" uri="{C3380CC4-5D6E-409C-BE32-E72D297353CC}">
              <c16:uniqueId val="{00000000-23E0-44BA-AF61-A01556AF7F4F}"/>
            </c:ext>
          </c:extLst>
        </c:ser>
        <c:dLbls>
          <c:dLblPos val="outEnd"/>
          <c:showLegendKey val="0"/>
          <c:showVal val="1"/>
          <c:showCatName val="0"/>
          <c:showSerName val="0"/>
          <c:showPercent val="0"/>
          <c:showBubbleSize val="0"/>
        </c:dLbls>
        <c:gapWidth val="182"/>
        <c:axId val="1891463599"/>
        <c:axId val="1891464559"/>
      </c:barChart>
      <c:catAx>
        <c:axId val="189146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891464559"/>
        <c:crosses val="autoZero"/>
        <c:auto val="1"/>
        <c:lblAlgn val="ctr"/>
        <c:lblOffset val="100"/>
        <c:noMultiLvlLbl val="0"/>
      </c:catAx>
      <c:valAx>
        <c:axId val="1891464559"/>
        <c:scaling>
          <c:orientation val="minMax"/>
        </c:scaling>
        <c:delete val="1"/>
        <c:axPos val="l"/>
        <c:numFmt formatCode="[$₹-820]#,##0" sourceLinked="1"/>
        <c:majorTickMark val="none"/>
        <c:minorTickMark val="none"/>
        <c:tickLblPos val="nextTo"/>
        <c:crossAx val="189146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3A6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Tables!Defaults by City</c:name>
    <c:fmtId val="7"/>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GB" sz="1200" b="1" i="1" u="none" strike="noStrike" baseline="0">
                <a:solidFill>
                  <a:schemeClr val="bg1">
                    <a:lumMod val="85000"/>
                  </a:schemeClr>
                </a:solidFill>
              </a:rPr>
              <a:t>Default Rate By City</a:t>
            </a:r>
            <a:endParaRPr lang="en-US" sz="1200" b="1" i="1">
              <a:solidFill>
                <a:schemeClr val="bg1">
                  <a:lumMod val="85000"/>
                </a:schemeClr>
              </a:solidFill>
            </a:endParaRPr>
          </a:p>
        </c:rich>
      </c:tx>
      <c:layout>
        <c:manualLayout>
          <c:xMode val="edge"/>
          <c:yMode val="edge"/>
          <c:x val="4.6981309592591662E-2"/>
          <c:y val="3.3389470711161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Tables'!$A$22:$A$26</c:f>
              <c:strCache>
                <c:ptCount val="5"/>
                <c:pt idx="0">
                  <c:v>Bangalore</c:v>
                </c:pt>
                <c:pt idx="1">
                  <c:v>Delhi</c:v>
                </c:pt>
                <c:pt idx="2">
                  <c:v>Chennai</c:v>
                </c:pt>
                <c:pt idx="3">
                  <c:v>Hyderabad</c:v>
                </c:pt>
                <c:pt idx="4">
                  <c:v>Mumbai</c:v>
                </c:pt>
              </c:strCache>
            </c:strRef>
          </c:cat>
          <c:val>
            <c:numRef>
              <c:f>'Pivot Tables'!$B$22:$B$26</c:f>
              <c:numCache>
                <c:formatCode>General</c:formatCode>
                <c:ptCount val="5"/>
                <c:pt idx="0">
                  <c:v>108</c:v>
                </c:pt>
                <c:pt idx="1">
                  <c:v>106</c:v>
                </c:pt>
                <c:pt idx="2">
                  <c:v>100</c:v>
                </c:pt>
                <c:pt idx="3">
                  <c:v>97</c:v>
                </c:pt>
                <c:pt idx="4">
                  <c:v>89</c:v>
                </c:pt>
              </c:numCache>
            </c:numRef>
          </c:val>
          <c:extLst>
            <c:ext xmlns:c16="http://schemas.microsoft.com/office/drawing/2014/chart" uri="{C3380CC4-5D6E-409C-BE32-E72D297353CC}">
              <c16:uniqueId val="{00000000-B635-416A-B2CC-623457882CA4}"/>
            </c:ext>
          </c:extLst>
        </c:ser>
        <c:dLbls>
          <c:dLblPos val="outEnd"/>
          <c:showLegendKey val="0"/>
          <c:showVal val="1"/>
          <c:showCatName val="0"/>
          <c:showSerName val="0"/>
          <c:showPercent val="0"/>
          <c:showBubbleSize val="0"/>
        </c:dLbls>
        <c:gapWidth val="219"/>
        <c:axId val="1891423279"/>
        <c:axId val="1891423759"/>
      </c:barChart>
      <c:catAx>
        <c:axId val="189142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891423759"/>
        <c:crosses val="autoZero"/>
        <c:auto val="1"/>
        <c:lblAlgn val="ctr"/>
        <c:lblOffset val="100"/>
        <c:noMultiLvlLbl val="0"/>
      </c:catAx>
      <c:valAx>
        <c:axId val="1891423759"/>
        <c:scaling>
          <c:orientation val="minMax"/>
        </c:scaling>
        <c:delete val="1"/>
        <c:axPos val="b"/>
        <c:numFmt formatCode="General" sourceLinked="1"/>
        <c:majorTickMark val="none"/>
        <c:minorTickMark val="none"/>
        <c:tickLblPos val="nextTo"/>
        <c:crossAx val="189142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3A6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Tables!Employment vs Tenure</c:name>
    <c:fmtId val="10"/>
  </c:pivotSource>
  <c:chart>
    <c:title>
      <c:tx>
        <c:rich>
          <a:bodyPr rot="0" spcFirstLastPara="1" vertOverflow="ellipsis" vert="horz" wrap="square" anchor="ctr" anchorCtr="1"/>
          <a:lstStyle/>
          <a:p>
            <a:pPr>
              <a:defRPr sz="1800" b="1" i="0" u="none" strike="noStrike" kern="1200" baseline="0">
                <a:solidFill>
                  <a:schemeClr val="bg1">
                    <a:lumMod val="85000"/>
                  </a:schemeClr>
                </a:solidFill>
                <a:latin typeface="+mn-lt"/>
                <a:ea typeface="+mn-ea"/>
                <a:cs typeface="+mn-cs"/>
              </a:defRPr>
            </a:pPr>
            <a:r>
              <a:rPr lang="en-GB">
                <a:solidFill>
                  <a:schemeClr val="bg1">
                    <a:lumMod val="85000"/>
                  </a:schemeClr>
                </a:solidFill>
              </a:rPr>
              <a:t>Employment Type vs Loan Tenure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85000"/>
                </a:schemeClr>
              </a:solidFill>
              <a:latin typeface="+mn-lt"/>
              <a:ea typeface="+mn-ea"/>
              <a:cs typeface="+mn-cs"/>
            </a:defRPr>
          </a:pPr>
          <a:endParaRPr lang="en-GB"/>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Tables'!$B$29:$B$30</c:f>
              <c:strCache>
                <c:ptCount val="1"/>
                <c:pt idx="0">
                  <c:v>3</c:v>
                </c:pt>
              </c:strCache>
            </c:strRef>
          </c:tx>
          <c:spPr>
            <a:solidFill>
              <a:schemeClr val="accent6">
                <a:alpha val="85000"/>
              </a:schemeClr>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Tables'!$B$31:$B$32</c:f>
              <c:numCache>
                <c:formatCode>General</c:formatCode>
                <c:ptCount val="2"/>
                <c:pt idx="0">
                  <c:v>11067930</c:v>
                </c:pt>
                <c:pt idx="1">
                  <c:v>8692861</c:v>
                </c:pt>
              </c:numCache>
            </c:numRef>
          </c:val>
          <c:extLst>
            <c:ext xmlns:c16="http://schemas.microsoft.com/office/drawing/2014/chart" uri="{C3380CC4-5D6E-409C-BE32-E72D297353CC}">
              <c16:uniqueId val="{00000004-BC08-4C1C-85B3-C86B7897F116}"/>
            </c:ext>
          </c:extLst>
        </c:ser>
        <c:ser>
          <c:idx val="1"/>
          <c:order val="1"/>
          <c:tx>
            <c:strRef>
              <c:f>'Pivot Tables'!$C$29:$C$30</c:f>
              <c:strCache>
                <c:ptCount val="1"/>
                <c:pt idx="0">
                  <c:v>6</c:v>
                </c:pt>
              </c:strCache>
            </c:strRef>
          </c:tx>
          <c:spPr>
            <a:solidFill>
              <a:schemeClr val="tx2">
                <a:lumMod val="40000"/>
                <a:lumOff val="60000"/>
                <a:alpha val="85000"/>
              </a:schemeClr>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Tables'!$C$31:$C$32</c:f>
              <c:numCache>
                <c:formatCode>General</c:formatCode>
                <c:ptCount val="2"/>
                <c:pt idx="0">
                  <c:v>11640202</c:v>
                </c:pt>
                <c:pt idx="1">
                  <c:v>11075457</c:v>
                </c:pt>
              </c:numCache>
            </c:numRef>
          </c:val>
          <c:extLst>
            <c:ext xmlns:c16="http://schemas.microsoft.com/office/drawing/2014/chart" uri="{C3380CC4-5D6E-409C-BE32-E72D297353CC}">
              <c16:uniqueId val="{00000005-BC08-4C1C-85B3-C86B7897F116}"/>
            </c:ext>
          </c:extLst>
        </c:ser>
        <c:ser>
          <c:idx val="2"/>
          <c:order val="2"/>
          <c:tx>
            <c:strRef>
              <c:f>'Pivot Tables'!$D$29:$D$30</c:f>
              <c:strCache>
                <c:ptCount val="1"/>
                <c:pt idx="0">
                  <c:v>12</c:v>
                </c:pt>
              </c:strCache>
            </c:strRef>
          </c:tx>
          <c:spPr>
            <a:solidFill>
              <a:schemeClr val="accent6"/>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Tables'!$D$31:$D$32</c:f>
              <c:numCache>
                <c:formatCode>General</c:formatCode>
                <c:ptCount val="2"/>
                <c:pt idx="0">
                  <c:v>11187171</c:v>
                </c:pt>
                <c:pt idx="1">
                  <c:v>11103937</c:v>
                </c:pt>
              </c:numCache>
            </c:numRef>
          </c:val>
          <c:extLst>
            <c:ext xmlns:c16="http://schemas.microsoft.com/office/drawing/2014/chart" uri="{C3380CC4-5D6E-409C-BE32-E72D297353CC}">
              <c16:uniqueId val="{00000006-BC08-4C1C-85B3-C86B7897F116}"/>
            </c:ext>
          </c:extLst>
        </c:ser>
        <c:ser>
          <c:idx val="3"/>
          <c:order val="3"/>
          <c:tx>
            <c:strRef>
              <c:f>'Pivot Tables'!$E$29:$E$30</c:f>
              <c:strCache>
                <c:ptCount val="1"/>
                <c:pt idx="0">
                  <c:v>18</c:v>
                </c:pt>
              </c:strCache>
            </c:strRef>
          </c:tx>
          <c:spPr>
            <a:solidFill>
              <a:schemeClr val="tx2">
                <a:lumMod val="60000"/>
                <a:lumOff val="40000"/>
                <a:alpha val="85000"/>
              </a:schemeClr>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Tables'!$E$31:$E$32</c:f>
              <c:numCache>
                <c:formatCode>General</c:formatCode>
                <c:ptCount val="2"/>
                <c:pt idx="0">
                  <c:v>13268344</c:v>
                </c:pt>
                <c:pt idx="1">
                  <c:v>13932716</c:v>
                </c:pt>
              </c:numCache>
            </c:numRef>
          </c:val>
          <c:extLst>
            <c:ext xmlns:c16="http://schemas.microsoft.com/office/drawing/2014/chart" uri="{C3380CC4-5D6E-409C-BE32-E72D297353CC}">
              <c16:uniqueId val="{00000007-BC08-4C1C-85B3-C86B7897F116}"/>
            </c:ext>
          </c:extLst>
        </c:ser>
        <c:ser>
          <c:idx val="4"/>
          <c:order val="4"/>
          <c:tx>
            <c:strRef>
              <c:f>'Pivot Tables'!$F$29:$F$30</c:f>
              <c:strCache>
                <c:ptCount val="1"/>
                <c:pt idx="0">
                  <c:v>24</c:v>
                </c:pt>
              </c:strCache>
            </c:strRef>
          </c:tx>
          <c:spPr>
            <a:solidFill>
              <a:schemeClr val="accent6"/>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Tables'!$F$31:$F$32</c:f>
              <c:numCache>
                <c:formatCode>General</c:formatCode>
                <c:ptCount val="2"/>
                <c:pt idx="0">
                  <c:v>14364706</c:v>
                </c:pt>
                <c:pt idx="1">
                  <c:v>14879206</c:v>
                </c:pt>
              </c:numCache>
            </c:numRef>
          </c:val>
          <c:extLst>
            <c:ext xmlns:c16="http://schemas.microsoft.com/office/drawing/2014/chart" uri="{C3380CC4-5D6E-409C-BE32-E72D297353CC}">
              <c16:uniqueId val="{00000008-BC08-4C1C-85B3-C86B7897F116}"/>
            </c:ext>
          </c:extLst>
        </c:ser>
        <c:dLbls>
          <c:showLegendKey val="0"/>
          <c:showVal val="0"/>
          <c:showCatName val="0"/>
          <c:showSerName val="0"/>
          <c:showPercent val="0"/>
          <c:showBubbleSize val="0"/>
        </c:dLbls>
        <c:gapWidth val="65"/>
        <c:axId val="1396560607"/>
        <c:axId val="1396562527"/>
      </c:barChart>
      <c:catAx>
        <c:axId val="1396560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6562527"/>
        <c:crosses val="autoZero"/>
        <c:auto val="1"/>
        <c:lblAlgn val="ctr"/>
        <c:lblOffset val="100"/>
        <c:noMultiLvlLbl val="0"/>
      </c:catAx>
      <c:valAx>
        <c:axId val="1396562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9656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3A6B"/>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Tables!Monthly Loan Trend</c:name>
    <c:fmtId val="7"/>
  </c:pivotSource>
  <c:chart>
    <c:title>
      <c:tx>
        <c:rich>
          <a:bodyPr rot="0" spcFirstLastPara="1" vertOverflow="ellipsis" vert="horz" wrap="square" anchor="ctr" anchorCtr="1"/>
          <a:lstStyle/>
          <a:p>
            <a:pPr>
              <a:defRPr sz="1400" b="1" i="0" u="none" strike="noStrike" kern="1200" cap="none" spc="20" baseline="0">
                <a:solidFill>
                  <a:schemeClr val="bg1"/>
                </a:solidFill>
                <a:latin typeface="+mn-lt"/>
                <a:ea typeface="+mn-ea"/>
                <a:cs typeface="+mn-cs"/>
              </a:defRPr>
            </a:pPr>
            <a:r>
              <a:rPr lang="en-GB" sz="1100" b="1">
                <a:solidFill>
                  <a:schemeClr val="bg1"/>
                </a:solidFill>
              </a:rPr>
              <a:t>Monthly Disbursment</a:t>
            </a:r>
            <a:r>
              <a:rPr lang="en-GB" sz="1100" b="1" baseline="0">
                <a:solidFill>
                  <a:schemeClr val="bg1"/>
                </a:solidFill>
              </a:rPr>
              <a:t> Trend</a:t>
            </a:r>
            <a:endParaRPr lang="en-US" sz="1100" b="1">
              <a:solidFill>
                <a:schemeClr val="bg1"/>
              </a:solidFill>
            </a:endParaRPr>
          </a:p>
        </c:rich>
      </c:tx>
      <c:layout>
        <c:manualLayout>
          <c:xMode val="edge"/>
          <c:yMode val="edge"/>
          <c:x val="3.3042881618633578E-2"/>
          <c:y val="3.1184480581960636E-2"/>
        </c:manualLayout>
      </c:layout>
      <c:overlay val="0"/>
      <c:spPr>
        <a:solidFill>
          <a:schemeClr val="tx2"/>
        </a:solidFill>
        <a:ln>
          <a:noFill/>
        </a:ln>
        <a:effectLst/>
      </c:spPr>
      <c:txPr>
        <a:bodyPr rot="0" spcFirstLastPara="1" vertOverflow="ellipsis" vert="horz" wrap="square" anchor="ctr" anchorCtr="1"/>
        <a:lstStyle/>
        <a:p>
          <a:pPr>
            <a:defRPr sz="1400" b="1"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6"/>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6"/>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c:f>
              <c:strCache>
                <c:ptCount val="1"/>
                <c:pt idx="0">
                  <c:v>Total</c:v>
                </c:pt>
              </c:strCache>
            </c:strRef>
          </c:tx>
          <c:spPr>
            <a:ln w="22225" cap="rnd" cmpd="sng" algn="ctr">
              <a:solidFill>
                <a:schemeClr val="accent6"/>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movingAvg"/>
            <c:period val="2"/>
            <c:dispRSqr val="0"/>
            <c:dispEq val="0"/>
          </c:trendline>
          <c:trendline>
            <c:spPr>
              <a:ln w="9525" cap="rnd">
                <a:solidFill>
                  <a:schemeClr val="tx2">
                    <a:lumMod val="40000"/>
                    <a:lumOff val="60000"/>
                    <a:alpha val="89000"/>
                  </a:schemeClr>
                </a:solidFill>
              </a:ln>
              <a:effectLst/>
            </c:spPr>
            <c:trendlineType val="movingAvg"/>
            <c:period val="2"/>
            <c:dispRSqr val="0"/>
            <c:dispEq val="0"/>
          </c:trendline>
          <c:cat>
            <c:strRef>
              <c:f>'Pivot Tables'!$A$36:$A$60</c:f>
              <c:strCache>
                <c:ptCount val="24"/>
                <c:pt idx="0">
                  <c:v>Apr-22</c:v>
                </c:pt>
                <c:pt idx="1">
                  <c:v>Apr-23</c:v>
                </c:pt>
                <c:pt idx="2">
                  <c:v>Aug-22</c:v>
                </c:pt>
                <c:pt idx="3">
                  <c:v>Aug-23</c:v>
                </c:pt>
                <c:pt idx="4">
                  <c:v>Dec-22</c:v>
                </c:pt>
                <c:pt idx="5">
                  <c:v>Dec-23</c:v>
                </c:pt>
                <c:pt idx="6">
                  <c:v>Feb-22</c:v>
                </c:pt>
                <c:pt idx="7">
                  <c:v>Feb-23</c:v>
                </c:pt>
                <c:pt idx="8">
                  <c:v>Jan-22</c:v>
                </c:pt>
                <c:pt idx="9">
                  <c:v>Jan-23</c:v>
                </c:pt>
                <c:pt idx="10">
                  <c:v>Jul-22</c:v>
                </c:pt>
                <c:pt idx="11">
                  <c:v>Jul-23</c:v>
                </c:pt>
                <c:pt idx="12">
                  <c:v>Jun-22</c:v>
                </c:pt>
                <c:pt idx="13">
                  <c:v>Jun-23</c:v>
                </c:pt>
                <c:pt idx="14">
                  <c:v>Mar-22</c:v>
                </c:pt>
                <c:pt idx="15">
                  <c:v>Mar-23</c:v>
                </c:pt>
                <c:pt idx="16">
                  <c:v>May-22</c:v>
                </c:pt>
                <c:pt idx="17">
                  <c:v>May-23</c:v>
                </c:pt>
                <c:pt idx="18">
                  <c:v>Nov-22</c:v>
                </c:pt>
                <c:pt idx="19">
                  <c:v>Nov-23</c:v>
                </c:pt>
                <c:pt idx="20">
                  <c:v>Oct-22</c:v>
                </c:pt>
                <c:pt idx="21">
                  <c:v>Oct-23</c:v>
                </c:pt>
                <c:pt idx="22">
                  <c:v>Sep-22</c:v>
                </c:pt>
                <c:pt idx="23">
                  <c:v>Sep-23</c:v>
                </c:pt>
              </c:strCache>
            </c:strRef>
          </c:cat>
          <c:val>
            <c:numRef>
              <c:f>'Pivot Tables'!$B$36:$B$60</c:f>
              <c:numCache>
                <c:formatCode>General</c:formatCode>
                <c:ptCount val="24"/>
                <c:pt idx="0">
                  <c:v>5427241</c:v>
                </c:pt>
                <c:pt idx="1">
                  <c:v>6141576</c:v>
                </c:pt>
                <c:pt idx="2">
                  <c:v>3451968</c:v>
                </c:pt>
                <c:pt idx="3">
                  <c:v>9371827</c:v>
                </c:pt>
                <c:pt idx="4">
                  <c:v>3404028</c:v>
                </c:pt>
                <c:pt idx="5">
                  <c:v>4395451</c:v>
                </c:pt>
                <c:pt idx="6">
                  <c:v>4338910</c:v>
                </c:pt>
                <c:pt idx="7">
                  <c:v>5852558</c:v>
                </c:pt>
                <c:pt idx="8">
                  <c:v>3062967</c:v>
                </c:pt>
                <c:pt idx="9">
                  <c:v>4208620</c:v>
                </c:pt>
                <c:pt idx="10">
                  <c:v>4163921</c:v>
                </c:pt>
                <c:pt idx="11">
                  <c:v>4331510</c:v>
                </c:pt>
                <c:pt idx="12">
                  <c:v>4496488</c:v>
                </c:pt>
                <c:pt idx="13">
                  <c:v>4636739</c:v>
                </c:pt>
                <c:pt idx="14">
                  <c:v>5058071</c:v>
                </c:pt>
                <c:pt idx="15">
                  <c:v>5841676</c:v>
                </c:pt>
                <c:pt idx="16">
                  <c:v>5085078</c:v>
                </c:pt>
                <c:pt idx="17">
                  <c:v>2980725</c:v>
                </c:pt>
                <c:pt idx="18">
                  <c:v>5765954</c:v>
                </c:pt>
                <c:pt idx="19">
                  <c:v>6706083</c:v>
                </c:pt>
                <c:pt idx="20">
                  <c:v>5190505</c:v>
                </c:pt>
                <c:pt idx="21">
                  <c:v>8867146</c:v>
                </c:pt>
                <c:pt idx="22">
                  <c:v>4555826</c:v>
                </c:pt>
                <c:pt idx="23">
                  <c:v>3877662</c:v>
                </c:pt>
              </c:numCache>
            </c:numRef>
          </c:val>
          <c:smooth val="0"/>
          <c:extLst>
            <c:ext xmlns:c16="http://schemas.microsoft.com/office/drawing/2014/chart" uri="{C3380CC4-5D6E-409C-BE32-E72D297353CC}">
              <c16:uniqueId val="{00000002-8908-417E-A2FC-4B312035A033}"/>
            </c:ext>
          </c:extLst>
        </c:ser>
        <c:dLbls>
          <c:showLegendKey val="0"/>
          <c:showVal val="0"/>
          <c:showCatName val="0"/>
          <c:showSerName val="0"/>
          <c:showPercent val="0"/>
          <c:showBubbleSize val="0"/>
        </c:dLbls>
        <c:dropLines>
          <c:spPr>
            <a:ln w="9525" cap="flat" cmpd="sng" algn="ctr">
              <a:solidFill>
                <a:schemeClr val="accent6">
                  <a:alpha val="33000"/>
                </a:schemeClr>
              </a:solidFill>
              <a:round/>
            </a:ln>
            <a:effectLst/>
          </c:spPr>
        </c:dropLines>
        <c:marker val="1"/>
        <c:smooth val="0"/>
        <c:axId val="1456879647"/>
        <c:axId val="1456880127"/>
      </c:lineChart>
      <c:catAx>
        <c:axId val="14568796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lumMod val="85000"/>
                  </a:schemeClr>
                </a:solidFill>
                <a:latin typeface="+mn-lt"/>
                <a:ea typeface="+mn-ea"/>
                <a:cs typeface="+mn-cs"/>
              </a:defRPr>
            </a:pPr>
            <a:endParaRPr lang="en-US"/>
          </a:p>
        </c:txPr>
        <c:crossAx val="1456880127"/>
        <c:crosses val="autoZero"/>
        <c:auto val="1"/>
        <c:lblAlgn val="ctr"/>
        <c:lblOffset val="100"/>
        <c:noMultiLvlLbl val="0"/>
      </c:catAx>
      <c:valAx>
        <c:axId val="145688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lumMod val="85000"/>
                  </a:schemeClr>
                </a:solidFill>
                <a:latin typeface="+mn-lt"/>
                <a:ea typeface="+mn-ea"/>
                <a:cs typeface="+mn-cs"/>
              </a:defRPr>
            </a:pPr>
            <a:endParaRPr lang="en-US"/>
          </a:p>
        </c:txPr>
        <c:crossAx val="1456879647"/>
        <c:crosses val="autoZero"/>
        <c:crossBetween val="between"/>
      </c:valAx>
      <c:spPr>
        <a:solidFill>
          <a:schemeClr val="tx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Tables!Loan status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1" u="none" strike="noStrike" baseline="0">
                <a:solidFill>
                  <a:schemeClr val="bg1">
                    <a:lumMod val="85000"/>
                  </a:schemeClr>
                </a:solidFill>
              </a:rPr>
              <a:t>Loan Status Mix</a:t>
            </a:r>
            <a:endParaRPr lang="en-US" sz="1200" b="1" i="1">
              <a:solidFill>
                <a:schemeClr val="bg1">
                  <a:lumMod val="85000"/>
                </a:schemeClr>
              </a:solidFill>
            </a:endParaRPr>
          </a:p>
        </c:rich>
      </c:tx>
      <c:layout>
        <c:manualLayout>
          <c:xMode val="edge"/>
          <c:yMode val="edge"/>
          <c:x val="2.3938144089181372E-2"/>
          <c:y val="2.4604535371441302E-2"/>
        </c:manualLayout>
      </c:layout>
      <c:overlay val="0"/>
      <c:spPr>
        <a:solidFill>
          <a:srgbClr val="1B3A6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
        <c:idx val="10"/>
        <c:spPr>
          <a:solidFill>
            <a:schemeClr val="accent1"/>
          </a:solidFill>
          <a:ln w="19050">
            <a:solidFill>
              <a:schemeClr val="lt1"/>
            </a:solidFill>
          </a:ln>
          <a:effectLst>
            <a:softEdge rad="444500"/>
          </a:effectLst>
          <a:scene3d>
            <a:camera prst="orthographicFront"/>
            <a:lightRig rig="threePt" dir="t"/>
          </a:scene3d>
          <a:sp3d>
            <a:bevelT w="57150" h="114300"/>
            <a:bevelB w="44450" h="1079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40000"/>
              <a:lumOff val="60000"/>
            </a:schemeClr>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000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6"/>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
        <c:idx val="15"/>
        <c:spPr>
          <a:solidFill>
            <a:schemeClr val="accent1"/>
          </a:solidFill>
          <a:ln w="19050">
            <a:solidFill>
              <a:schemeClr val="lt1"/>
            </a:solidFill>
          </a:ln>
          <a:effectLst>
            <a:softEdge rad="444500"/>
          </a:effectLst>
          <a:scene3d>
            <a:camera prst="orthographicFront"/>
            <a:lightRig rig="threePt" dir="t"/>
          </a:scene3d>
          <a:sp3d>
            <a:bevelT w="57150" h="114300"/>
            <a:bevelB w="44450" h="1079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tx2">
              <a:lumMod val="40000"/>
              <a:lumOff val="60000"/>
            </a:schemeClr>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B05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F000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i="0" u="none" strike="noStrike" kern="1200" baseline="0">
                      <a:solidFill>
                        <a:sysClr val="windowText" lastClr="000000"/>
                      </a:solidFill>
                      <a:latin typeface="+mn-lt"/>
                      <a:ea typeface="+mn-ea"/>
                      <a:cs typeface="+mn-cs"/>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6"/>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
        <c:idx val="20"/>
        <c:spPr>
          <a:solidFill>
            <a:schemeClr val="accent1"/>
          </a:solidFill>
          <a:ln w="19050">
            <a:solidFill>
              <a:schemeClr val="lt1"/>
            </a:solidFill>
          </a:ln>
          <a:effectLst>
            <a:softEdge rad="444500"/>
          </a:effectLst>
          <a:scene3d>
            <a:camera prst="orthographicFront"/>
            <a:lightRig rig="threePt" dir="t"/>
          </a:scene3d>
          <a:sp3d>
            <a:bevelT w="57150" h="114300"/>
            <a:bevelB w="44450" h="10795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tx2">
              <a:lumMod val="40000"/>
              <a:lumOff val="60000"/>
            </a:schemeClr>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B05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FF0000"/>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chemeClr val="accent6"/>
          </a:solidFill>
          <a:ln w="19050">
            <a:solidFill>
              <a:schemeClr val="lt1"/>
            </a:solidFill>
          </a:ln>
          <a:effectLst>
            <a:softEdge rad="444500"/>
          </a:effectLst>
          <a:scene3d>
            <a:camera prst="orthographicFront"/>
            <a:lightRig rig="threePt" dir="t"/>
          </a:scene3d>
          <a:sp3d>
            <a:bevelT w="57150" h="114300"/>
            <a:bevelB w="44450" h="107950"/>
          </a:sp3d>
        </c:spPr>
        <c:dLbl>
          <c:idx val="0"/>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Lst>
        </c:dLbl>
      </c:pivotFmt>
    </c:pivotFmts>
    <c:plotArea>
      <c:layout/>
      <c:doughnutChart>
        <c:varyColors val="1"/>
        <c:ser>
          <c:idx val="0"/>
          <c:order val="0"/>
          <c:tx>
            <c:strRef>
              <c:f>'Pivot Tables'!$B$1</c:f>
              <c:strCache>
                <c:ptCount val="1"/>
                <c:pt idx="0">
                  <c:v>Total</c:v>
                </c:pt>
              </c:strCache>
            </c:strRef>
          </c:tx>
          <c:spPr>
            <a:effectLst>
              <a:softEdge rad="444500"/>
            </a:effectLst>
            <a:scene3d>
              <a:camera prst="orthographicFront"/>
              <a:lightRig rig="threePt" dir="t"/>
            </a:scene3d>
            <a:sp3d>
              <a:bevelT w="57150" h="114300"/>
              <a:bevelB w="44450" h="107950"/>
            </a:sp3d>
          </c:spPr>
          <c:dPt>
            <c:idx val="0"/>
            <c:bubble3D val="0"/>
            <c:spPr>
              <a:solidFill>
                <a:schemeClr val="tx2">
                  <a:lumMod val="40000"/>
                  <a:lumOff val="60000"/>
                </a:schemeClr>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1-7ADE-4110-A686-3C9BFFF0D262}"/>
              </c:ext>
            </c:extLst>
          </c:dPt>
          <c:dPt>
            <c:idx val="1"/>
            <c:bubble3D val="0"/>
            <c:spPr>
              <a:solidFill>
                <a:srgbClr val="00B050"/>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3-7ADE-4110-A686-3C9BFFF0D262}"/>
              </c:ext>
            </c:extLst>
          </c:dPt>
          <c:dPt>
            <c:idx val="2"/>
            <c:bubble3D val="0"/>
            <c:spPr>
              <a:solidFill>
                <a:srgbClr val="FF0000"/>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5-7ADE-4110-A686-3C9BFFF0D262}"/>
              </c:ext>
            </c:extLst>
          </c:dPt>
          <c:dPt>
            <c:idx val="3"/>
            <c:bubble3D val="0"/>
            <c:spPr>
              <a:solidFill>
                <a:schemeClr val="accent6"/>
              </a:solidFill>
              <a:ln w="19050">
                <a:solidFill>
                  <a:schemeClr val="lt1"/>
                </a:solidFill>
              </a:ln>
              <a:effectLst>
                <a:softEdge rad="444500"/>
              </a:effectLst>
              <a:scene3d>
                <a:camera prst="orthographicFront"/>
                <a:lightRig rig="threePt" dir="t"/>
              </a:scene3d>
              <a:sp3d>
                <a:bevelT w="57150" h="114300"/>
                <a:bevelB w="44450" h="107950"/>
              </a:sp3d>
            </c:spPr>
            <c:extLst>
              <c:ext xmlns:c16="http://schemas.microsoft.com/office/drawing/2014/chart" uri="{C3380CC4-5D6E-409C-BE32-E72D297353CC}">
                <c16:uniqueId val="{00000007-7ADE-4110-A686-3C9BFFF0D262}"/>
              </c:ext>
            </c:extLst>
          </c:dPt>
          <c:dLbls>
            <c:dLbl>
              <c:idx val="0"/>
              <c:layout>
                <c:manualLayout>
                  <c:x val="0.10147298964129897"/>
                  <c:y val="-0.120370370370370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ADE-4110-A686-3C9BFFF0D262}"/>
                </c:ext>
              </c:extLst>
            </c:dLbl>
            <c:dLbl>
              <c:idx val="1"/>
              <c:layout>
                <c:manualLayout>
                  <c:x val="0.19026185557743558"/>
                  <c:y val="0.111111111111110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ADE-4110-A686-3C9BFFF0D262}"/>
                </c:ext>
              </c:extLst>
            </c:dLbl>
            <c:dLbl>
              <c:idx val="2"/>
              <c:layout>
                <c:manualLayout>
                  <c:x val="-0.13529731952173199"/>
                  <c:y val="7.8703703703703706E-2"/>
                </c:manualLayout>
              </c:layout>
              <c:tx>
                <c:rich>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fld id="{BA40A089-3396-4E3F-8F0D-9028F302521A}" type="CATEGORYNAM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[CATEGORY NAME]</a:t>
                    </a:fld>
                    <a:r>
                      <a:rPr lang="en-US" sz="800" b="1" i="0" u="none" strike="noStrike" kern="1200" baseline="0">
                        <a:solidFill>
                          <a:sysClr val="windowText" lastClr="000000"/>
                        </a:solidFill>
                        <a:latin typeface="+mn-lt"/>
                        <a:ea typeface="+mn-ea"/>
                        <a:cs typeface="+mn-cs"/>
                      </a:rPr>
                      <a:t>
</a:t>
                    </a:r>
                    <a:fld id="{822BB37B-6376-40A9-B446-504B335C108B}" type="PERCENTAGE">
                      <a:rPr lang="en-US" sz="800" b="1" i="0" u="none" strike="noStrike" kern="1200" baseline="0">
                        <a:solidFill>
                          <a:sysClr val="windowText" lastClr="000000"/>
                        </a:solidFill>
                        <a:latin typeface="+mn-lt"/>
                        <a:ea typeface="+mn-ea"/>
                        <a:cs typeface="+mn-cs"/>
                      </a:rPr>
                      <a:pPr algn="ctr" rtl="0">
                        <a:defRPr lang="en-US" sz="800" b="1">
                          <a:solidFill>
                            <a:sysClr val="windowText" lastClr="000000"/>
                          </a:solidFill>
                        </a:defRPr>
                      </a:pPr>
                      <a:t>[PERCENTAGE]</a:t>
                    </a:fld>
                    <a:endParaRPr lang="en-US" sz="800" b="1" i="0" u="none" strike="noStrike" kern="1200" baseline="0">
                      <a:solidFill>
                        <a:sysClr val="windowText" lastClr="000000"/>
                      </a:solidFill>
                      <a:latin typeface="+mn-lt"/>
                      <a:ea typeface="+mn-ea"/>
                      <a:cs typeface="+mn-cs"/>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7ADE-4110-A686-3C9BFFF0D262}"/>
                </c:ext>
              </c:extLst>
            </c:dLbl>
            <c:dLbl>
              <c:idx val="3"/>
              <c:layout>
                <c:manualLayout>
                  <c:x val="-0.16700779524295423"/>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95462179838231"/>
                      <c:h val="0.16808398950131237"/>
                    </c:manualLayout>
                  </c15:layout>
                </c:ext>
                <c:ext xmlns:c16="http://schemas.microsoft.com/office/drawing/2014/chart" uri="{C3380CC4-5D6E-409C-BE32-E72D297353CC}">
                  <c16:uniqueId val="{00000007-7ADE-4110-A686-3C9BFFF0D26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Tables'!$A$2:$A$6</c:f>
              <c:strCache>
                <c:ptCount val="4"/>
                <c:pt idx="0">
                  <c:v>Active</c:v>
                </c:pt>
                <c:pt idx="1">
                  <c:v>Closed</c:v>
                </c:pt>
                <c:pt idx="2">
                  <c:v>Defaulted</c:v>
                </c:pt>
                <c:pt idx="3">
                  <c:v>Restructured</c:v>
                </c:pt>
              </c:strCache>
            </c:strRef>
          </c:cat>
          <c:val>
            <c:numRef>
              <c:f>'Pivot Tables'!$B$2:$B$6</c:f>
              <c:numCache>
                <c:formatCode>General</c:formatCode>
                <c:ptCount val="4"/>
                <c:pt idx="0">
                  <c:v>128</c:v>
                </c:pt>
                <c:pt idx="1">
                  <c:v>127</c:v>
                </c:pt>
                <c:pt idx="2">
                  <c:v>124</c:v>
                </c:pt>
                <c:pt idx="3">
                  <c:v>121</c:v>
                </c:pt>
              </c:numCache>
            </c:numRef>
          </c:val>
          <c:extLst>
            <c:ext xmlns:c16="http://schemas.microsoft.com/office/drawing/2014/chart" uri="{C3380CC4-5D6E-409C-BE32-E72D297353CC}">
              <c16:uniqueId val="{00000008-7ADE-4110-A686-3C9BFFF0D262}"/>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Tables!Loan Purpose</c:name>
    <c:fmtId val="10"/>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GB" sz="1200" b="1" i="1" u="none" strike="noStrike" baseline="0">
                <a:solidFill>
                  <a:schemeClr val="bg1">
                    <a:lumMod val="85000"/>
                  </a:schemeClr>
                </a:solidFill>
              </a:rPr>
              <a:t>Loan Purpose Analysis</a:t>
            </a:r>
            <a:endParaRPr lang="en-US" sz="1200" b="1" i="1">
              <a:solidFill>
                <a:schemeClr val="bg1">
                  <a:lumMod val="85000"/>
                </a:schemeClr>
              </a:solidFill>
            </a:endParaRPr>
          </a:p>
        </c:rich>
      </c:tx>
      <c:layout>
        <c:manualLayout>
          <c:xMode val="edge"/>
          <c:yMode val="edge"/>
          <c:x val="2.8192053117648823E-2"/>
          <c:y val="2.0666662598425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chemeClr val="accent6">
              <a:lumMod val="75000"/>
            </a:schemeClr>
          </a:solidFill>
          <a:ln>
            <a:noFill/>
          </a:ln>
          <a:effectLst/>
        </c:spPr>
      </c:pivotFmt>
      <c:pivotFmt>
        <c:idx val="5"/>
        <c:spPr>
          <a:solidFill>
            <a:srgbClr val="92D050"/>
          </a:solidFill>
          <a:ln>
            <a:noFill/>
          </a:ln>
          <a:effectLst/>
        </c:spPr>
      </c:pivotFmt>
      <c:pivotFmt>
        <c:idx val="6"/>
        <c:spPr>
          <a:solidFill>
            <a:schemeClr val="tx2">
              <a:lumMod val="40000"/>
              <a:lumOff val="60000"/>
            </a:schemeClr>
          </a:solidFill>
          <a:ln>
            <a:noFill/>
          </a:ln>
          <a:effectLst/>
        </c:spPr>
      </c:pivotFmt>
      <c:pivotFmt>
        <c:idx val="7"/>
        <c:spPr>
          <a:solidFill>
            <a:schemeClr val="accent4"/>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chemeClr val="accent6">
              <a:lumMod val="75000"/>
            </a:schemeClr>
          </a:solidFill>
          <a:ln>
            <a:noFill/>
          </a:ln>
          <a:effectLst/>
        </c:spPr>
      </c:pivotFmt>
      <c:pivotFmt>
        <c:idx val="11"/>
        <c:spPr>
          <a:solidFill>
            <a:srgbClr val="92D050"/>
          </a:solidFill>
          <a:ln>
            <a:noFill/>
          </a:ln>
          <a:effectLst/>
        </c:spPr>
      </c:pivotFmt>
      <c:pivotFmt>
        <c:idx val="12"/>
        <c:spPr>
          <a:solidFill>
            <a:schemeClr val="tx2">
              <a:lumMod val="40000"/>
              <a:lumOff val="60000"/>
            </a:schemeClr>
          </a:solidFill>
          <a:ln>
            <a:noFill/>
          </a:ln>
          <a:effectLst/>
        </c:spPr>
      </c:pivotFmt>
      <c:pivotFmt>
        <c:idx val="13"/>
        <c:spPr>
          <a:solidFill>
            <a:schemeClr val="accent4"/>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pivotFmt>
      <c:pivotFmt>
        <c:idx val="16"/>
        <c:spPr>
          <a:solidFill>
            <a:schemeClr val="accent6">
              <a:lumMod val="75000"/>
            </a:schemeClr>
          </a:solidFill>
          <a:ln>
            <a:noFill/>
          </a:ln>
          <a:effectLst/>
        </c:spPr>
      </c:pivotFmt>
      <c:pivotFmt>
        <c:idx val="17"/>
        <c:spPr>
          <a:solidFill>
            <a:srgbClr val="92D050"/>
          </a:solidFill>
          <a:ln>
            <a:noFill/>
          </a:ln>
          <a:effectLst/>
        </c:spPr>
      </c:pivotFmt>
      <c:pivotFmt>
        <c:idx val="18"/>
        <c:spPr>
          <a:solidFill>
            <a:schemeClr val="tx2">
              <a:lumMod val="40000"/>
              <a:lumOff val="60000"/>
            </a:schemeClr>
          </a:solidFill>
          <a:ln>
            <a:noFill/>
          </a:ln>
          <a:effectLst/>
        </c:spPr>
      </c:pivotFmt>
      <c:pivotFmt>
        <c:idx val="19"/>
        <c:spPr>
          <a:solidFill>
            <a:schemeClr val="accent4"/>
          </a:solidFill>
          <a:ln>
            <a:noFill/>
          </a:ln>
          <a:effectLst/>
        </c:spPr>
      </c:pivotFmt>
    </c:pivotFmts>
    <c:plotArea>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51BB-4A3D-A981-E76108F9E4F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1BB-4A3D-A981-E76108F9E4F1}"/>
              </c:ext>
            </c:extLst>
          </c:dPt>
          <c:dPt>
            <c:idx val="2"/>
            <c:invertIfNegative val="0"/>
            <c:bubble3D val="0"/>
            <c:spPr>
              <a:solidFill>
                <a:srgbClr val="92D050"/>
              </a:solidFill>
              <a:ln>
                <a:noFill/>
              </a:ln>
              <a:effectLst/>
            </c:spPr>
            <c:extLst>
              <c:ext xmlns:c16="http://schemas.microsoft.com/office/drawing/2014/chart" uri="{C3380CC4-5D6E-409C-BE32-E72D297353CC}">
                <c16:uniqueId val="{00000005-51BB-4A3D-A981-E76108F9E4F1}"/>
              </c:ext>
            </c:extLst>
          </c:dPt>
          <c:dPt>
            <c:idx val="3"/>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7-51BB-4A3D-A981-E76108F9E4F1}"/>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51BB-4A3D-A981-E76108F9E4F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Tables'!$A$11:$A$16</c:f>
              <c:strCache>
                <c:ptCount val="5"/>
                <c:pt idx="0">
                  <c:v>Business</c:v>
                </c:pt>
                <c:pt idx="1">
                  <c:v>Education</c:v>
                </c:pt>
                <c:pt idx="2">
                  <c:v>Travel</c:v>
                </c:pt>
                <c:pt idx="3">
                  <c:v>Medical</c:v>
                </c:pt>
                <c:pt idx="4">
                  <c:v>Shopping</c:v>
                </c:pt>
              </c:strCache>
            </c:strRef>
          </c:cat>
          <c:val>
            <c:numRef>
              <c:f>'Pivot Tables'!$B$11:$B$16</c:f>
              <c:numCache>
                <c:formatCode>[$₹-820]#,##0</c:formatCode>
                <c:ptCount val="5"/>
                <c:pt idx="0">
                  <c:v>27542872</c:v>
                </c:pt>
                <c:pt idx="1">
                  <c:v>26056082</c:v>
                </c:pt>
                <c:pt idx="2">
                  <c:v>24263898</c:v>
                </c:pt>
                <c:pt idx="3">
                  <c:v>23346728</c:v>
                </c:pt>
                <c:pt idx="4">
                  <c:v>20002950</c:v>
                </c:pt>
              </c:numCache>
            </c:numRef>
          </c:val>
          <c:extLst>
            <c:ext xmlns:c16="http://schemas.microsoft.com/office/drawing/2014/chart" uri="{C3380CC4-5D6E-409C-BE32-E72D297353CC}">
              <c16:uniqueId val="{0000000A-51BB-4A3D-A981-E76108F9E4F1}"/>
            </c:ext>
          </c:extLst>
        </c:ser>
        <c:dLbls>
          <c:dLblPos val="outEnd"/>
          <c:showLegendKey val="0"/>
          <c:showVal val="1"/>
          <c:showCatName val="0"/>
          <c:showSerName val="0"/>
          <c:showPercent val="0"/>
          <c:showBubbleSize val="0"/>
        </c:dLbls>
        <c:gapWidth val="182"/>
        <c:axId val="1891463599"/>
        <c:axId val="1891464559"/>
      </c:barChart>
      <c:catAx>
        <c:axId val="189146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891464559"/>
        <c:crosses val="autoZero"/>
        <c:auto val="1"/>
        <c:lblAlgn val="ctr"/>
        <c:lblOffset val="100"/>
        <c:noMultiLvlLbl val="0"/>
      </c:catAx>
      <c:valAx>
        <c:axId val="1891464559"/>
        <c:scaling>
          <c:orientation val="minMax"/>
        </c:scaling>
        <c:delete val="1"/>
        <c:axPos val="l"/>
        <c:numFmt formatCode="[$₹-820]#,##0" sourceLinked="1"/>
        <c:majorTickMark val="none"/>
        <c:minorTickMark val="none"/>
        <c:tickLblPos val="nextTo"/>
        <c:crossAx val="189146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3A6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Tables!Defaults by City</c:name>
    <c:fmtId val="12"/>
  </c:pivotSource>
  <c:chart>
    <c:title>
      <c:tx>
        <c:rich>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r>
              <a:rPr lang="en-GB" sz="1200" b="1" i="1" u="none" strike="noStrike" baseline="0">
                <a:solidFill>
                  <a:schemeClr val="bg1">
                    <a:lumMod val="85000"/>
                  </a:schemeClr>
                </a:solidFill>
              </a:rPr>
              <a:t>Default Rate By City</a:t>
            </a:r>
            <a:endParaRPr lang="en-US" sz="1200" b="1" i="1">
              <a:solidFill>
                <a:schemeClr val="bg1">
                  <a:lumMod val="85000"/>
                </a:schemeClr>
              </a:solidFill>
            </a:endParaRPr>
          </a:p>
        </c:rich>
      </c:tx>
      <c:layout>
        <c:manualLayout>
          <c:xMode val="edge"/>
          <c:yMode val="edge"/>
          <c:x val="4.6981309592591662E-2"/>
          <c:y val="3.3389470711161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Tables'!$A$22:$A$26</c:f>
              <c:strCache>
                <c:ptCount val="5"/>
                <c:pt idx="0">
                  <c:v>Bangalore</c:v>
                </c:pt>
                <c:pt idx="1">
                  <c:v>Delhi</c:v>
                </c:pt>
                <c:pt idx="2">
                  <c:v>Chennai</c:v>
                </c:pt>
                <c:pt idx="3">
                  <c:v>Hyderabad</c:v>
                </c:pt>
                <c:pt idx="4">
                  <c:v>Mumbai</c:v>
                </c:pt>
              </c:strCache>
            </c:strRef>
          </c:cat>
          <c:val>
            <c:numRef>
              <c:f>'Pivot Tables'!$B$22:$B$26</c:f>
              <c:numCache>
                <c:formatCode>General</c:formatCode>
                <c:ptCount val="5"/>
                <c:pt idx="0">
                  <c:v>108</c:v>
                </c:pt>
                <c:pt idx="1">
                  <c:v>106</c:v>
                </c:pt>
                <c:pt idx="2">
                  <c:v>100</c:v>
                </c:pt>
                <c:pt idx="3">
                  <c:v>97</c:v>
                </c:pt>
                <c:pt idx="4">
                  <c:v>89</c:v>
                </c:pt>
              </c:numCache>
            </c:numRef>
          </c:val>
          <c:extLst>
            <c:ext xmlns:c16="http://schemas.microsoft.com/office/drawing/2014/chart" uri="{C3380CC4-5D6E-409C-BE32-E72D297353CC}">
              <c16:uniqueId val="{00000001-129D-4B0E-8C15-0FB747F431F7}"/>
            </c:ext>
          </c:extLst>
        </c:ser>
        <c:dLbls>
          <c:dLblPos val="outEnd"/>
          <c:showLegendKey val="0"/>
          <c:showVal val="1"/>
          <c:showCatName val="0"/>
          <c:showSerName val="0"/>
          <c:showPercent val="0"/>
          <c:showBubbleSize val="0"/>
        </c:dLbls>
        <c:gapWidth val="219"/>
        <c:axId val="1891423279"/>
        <c:axId val="1891423759"/>
      </c:barChart>
      <c:catAx>
        <c:axId val="189142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891423759"/>
        <c:crosses val="autoZero"/>
        <c:auto val="1"/>
        <c:lblAlgn val="ctr"/>
        <c:lblOffset val="100"/>
        <c:noMultiLvlLbl val="0"/>
      </c:catAx>
      <c:valAx>
        <c:axId val="1891423759"/>
        <c:scaling>
          <c:orientation val="minMax"/>
        </c:scaling>
        <c:delete val="1"/>
        <c:axPos val="b"/>
        <c:numFmt formatCode="General" sourceLinked="1"/>
        <c:majorTickMark val="none"/>
        <c:minorTickMark val="none"/>
        <c:tickLblPos val="nextTo"/>
        <c:crossAx val="189142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3A6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[Fintech_LoanDashBoard_Portfolio.xlsx]Pivot Tables!Employment vs Tenure</c:name>
    <c:fmtId val="18"/>
  </c:pivotSource>
  <c:chart>
    <c:title>
      <c:tx>
        <c:rich>
          <a:bodyPr rot="0" spcFirstLastPara="1" vertOverflow="ellipsis" vert="horz" wrap="square" anchor="ctr" anchorCtr="1"/>
          <a:lstStyle/>
          <a:p>
            <a:pPr>
              <a:defRPr sz="1800" b="1" i="0" u="none" strike="noStrike" kern="1200" baseline="0">
                <a:solidFill>
                  <a:schemeClr val="bg1">
                    <a:lumMod val="85000"/>
                  </a:schemeClr>
                </a:solidFill>
                <a:latin typeface="+mn-lt"/>
                <a:ea typeface="+mn-ea"/>
                <a:cs typeface="+mn-cs"/>
              </a:defRPr>
            </a:pPr>
            <a:r>
              <a:rPr lang="en-GB">
                <a:solidFill>
                  <a:schemeClr val="bg1">
                    <a:lumMod val="85000"/>
                  </a:schemeClr>
                </a:solidFill>
              </a:rPr>
              <a:t>Employment Type vs Loan Tenure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85000"/>
                </a:schemeClr>
              </a:solidFill>
              <a:latin typeface="+mn-lt"/>
              <a:ea typeface="+mn-ea"/>
              <a:cs typeface="+mn-cs"/>
            </a:defRPr>
          </a:pPr>
          <a:endParaRPr lang="en-GB"/>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60000"/>
              <a:lumOff val="4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2">
              <a:lumMod val="40000"/>
              <a:lumOff val="6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2">
              <a:lumMod val="60000"/>
              <a:lumOff val="4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Tables'!$B$29:$B$30</c:f>
              <c:strCache>
                <c:ptCount val="1"/>
                <c:pt idx="0">
                  <c:v>3</c:v>
                </c:pt>
              </c:strCache>
            </c:strRef>
          </c:tx>
          <c:spPr>
            <a:solidFill>
              <a:schemeClr val="accent6">
                <a:alpha val="85000"/>
              </a:schemeClr>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Tables'!$B$31:$B$32</c:f>
              <c:numCache>
                <c:formatCode>General</c:formatCode>
                <c:ptCount val="2"/>
                <c:pt idx="0">
                  <c:v>11067930</c:v>
                </c:pt>
                <c:pt idx="1">
                  <c:v>8692861</c:v>
                </c:pt>
              </c:numCache>
            </c:numRef>
          </c:val>
          <c:extLst>
            <c:ext xmlns:c16="http://schemas.microsoft.com/office/drawing/2014/chart" uri="{C3380CC4-5D6E-409C-BE32-E72D297353CC}">
              <c16:uniqueId val="{00000009-E589-4958-A8EA-63CB08898493}"/>
            </c:ext>
          </c:extLst>
        </c:ser>
        <c:ser>
          <c:idx val="1"/>
          <c:order val="1"/>
          <c:tx>
            <c:strRef>
              <c:f>'Pivot Tables'!$C$29:$C$30</c:f>
              <c:strCache>
                <c:ptCount val="1"/>
                <c:pt idx="0">
                  <c:v>6</c:v>
                </c:pt>
              </c:strCache>
            </c:strRef>
          </c:tx>
          <c:spPr>
            <a:solidFill>
              <a:schemeClr val="tx2">
                <a:lumMod val="40000"/>
                <a:lumOff val="60000"/>
                <a:alpha val="85000"/>
              </a:schemeClr>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Tables'!$C$31:$C$32</c:f>
              <c:numCache>
                <c:formatCode>General</c:formatCode>
                <c:ptCount val="2"/>
                <c:pt idx="0">
                  <c:v>11640202</c:v>
                </c:pt>
                <c:pt idx="1">
                  <c:v>11075457</c:v>
                </c:pt>
              </c:numCache>
            </c:numRef>
          </c:val>
          <c:extLst>
            <c:ext xmlns:c16="http://schemas.microsoft.com/office/drawing/2014/chart" uri="{C3380CC4-5D6E-409C-BE32-E72D297353CC}">
              <c16:uniqueId val="{0000000A-E589-4958-A8EA-63CB08898493}"/>
            </c:ext>
          </c:extLst>
        </c:ser>
        <c:ser>
          <c:idx val="2"/>
          <c:order val="2"/>
          <c:tx>
            <c:strRef>
              <c:f>'Pivot Tables'!$D$29:$D$30</c:f>
              <c:strCache>
                <c:ptCount val="1"/>
                <c:pt idx="0">
                  <c:v>12</c:v>
                </c:pt>
              </c:strCache>
            </c:strRef>
          </c:tx>
          <c:spPr>
            <a:solidFill>
              <a:schemeClr val="accent6"/>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Tables'!$D$31:$D$32</c:f>
              <c:numCache>
                <c:formatCode>General</c:formatCode>
                <c:ptCount val="2"/>
                <c:pt idx="0">
                  <c:v>11187171</c:v>
                </c:pt>
                <c:pt idx="1">
                  <c:v>11103937</c:v>
                </c:pt>
              </c:numCache>
            </c:numRef>
          </c:val>
          <c:extLst>
            <c:ext xmlns:c16="http://schemas.microsoft.com/office/drawing/2014/chart" uri="{C3380CC4-5D6E-409C-BE32-E72D297353CC}">
              <c16:uniqueId val="{0000000B-E589-4958-A8EA-63CB08898493}"/>
            </c:ext>
          </c:extLst>
        </c:ser>
        <c:ser>
          <c:idx val="3"/>
          <c:order val="3"/>
          <c:tx>
            <c:strRef>
              <c:f>'Pivot Tables'!$E$29:$E$30</c:f>
              <c:strCache>
                <c:ptCount val="1"/>
                <c:pt idx="0">
                  <c:v>18</c:v>
                </c:pt>
              </c:strCache>
            </c:strRef>
          </c:tx>
          <c:spPr>
            <a:solidFill>
              <a:schemeClr val="tx2">
                <a:lumMod val="60000"/>
                <a:lumOff val="40000"/>
                <a:alpha val="85000"/>
              </a:schemeClr>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Tables'!$E$31:$E$32</c:f>
              <c:numCache>
                <c:formatCode>General</c:formatCode>
                <c:ptCount val="2"/>
                <c:pt idx="0">
                  <c:v>13268344</c:v>
                </c:pt>
                <c:pt idx="1">
                  <c:v>13932716</c:v>
                </c:pt>
              </c:numCache>
            </c:numRef>
          </c:val>
          <c:extLst>
            <c:ext xmlns:c16="http://schemas.microsoft.com/office/drawing/2014/chart" uri="{C3380CC4-5D6E-409C-BE32-E72D297353CC}">
              <c16:uniqueId val="{0000000C-E589-4958-A8EA-63CB08898493}"/>
            </c:ext>
          </c:extLst>
        </c:ser>
        <c:ser>
          <c:idx val="4"/>
          <c:order val="4"/>
          <c:tx>
            <c:strRef>
              <c:f>'Pivot Tables'!$F$29:$F$30</c:f>
              <c:strCache>
                <c:ptCount val="1"/>
                <c:pt idx="0">
                  <c:v>24</c:v>
                </c:pt>
              </c:strCache>
            </c:strRef>
          </c:tx>
          <c:spPr>
            <a:solidFill>
              <a:schemeClr val="accent6"/>
            </a:solidFill>
            <a:ln w="9525" cap="flat" cmpd="sng" algn="ctr">
              <a:solidFill>
                <a:schemeClr val="lt1">
                  <a:alpha val="50000"/>
                </a:schemeClr>
              </a:solidFill>
              <a:round/>
            </a:ln>
            <a:effectLst/>
          </c:spPr>
          <c:invertIfNegative val="0"/>
          <c:cat>
            <c:strRef>
              <c:f>'Pivot Tables'!$A$31:$A$32</c:f>
              <c:strCache>
                <c:ptCount val="2"/>
                <c:pt idx="0">
                  <c:v>Salaried</c:v>
                </c:pt>
                <c:pt idx="1">
                  <c:v>Self-Employed</c:v>
                </c:pt>
              </c:strCache>
            </c:strRef>
          </c:cat>
          <c:val>
            <c:numRef>
              <c:f>'Pivot Tables'!$F$31:$F$32</c:f>
              <c:numCache>
                <c:formatCode>General</c:formatCode>
                <c:ptCount val="2"/>
                <c:pt idx="0">
                  <c:v>14364706</c:v>
                </c:pt>
                <c:pt idx="1">
                  <c:v>14879206</c:v>
                </c:pt>
              </c:numCache>
            </c:numRef>
          </c:val>
          <c:extLst>
            <c:ext xmlns:c16="http://schemas.microsoft.com/office/drawing/2014/chart" uri="{C3380CC4-5D6E-409C-BE32-E72D297353CC}">
              <c16:uniqueId val="{0000000D-E589-4958-A8EA-63CB08898493}"/>
            </c:ext>
          </c:extLst>
        </c:ser>
        <c:dLbls>
          <c:showLegendKey val="0"/>
          <c:showVal val="0"/>
          <c:showCatName val="0"/>
          <c:showSerName val="0"/>
          <c:showPercent val="0"/>
          <c:showBubbleSize val="0"/>
        </c:dLbls>
        <c:gapWidth val="65"/>
        <c:axId val="1396560607"/>
        <c:axId val="1396562527"/>
      </c:barChart>
      <c:catAx>
        <c:axId val="1396560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6562527"/>
        <c:crosses val="autoZero"/>
        <c:auto val="1"/>
        <c:lblAlgn val="ctr"/>
        <c:lblOffset val="100"/>
        <c:noMultiLvlLbl val="0"/>
      </c:catAx>
      <c:valAx>
        <c:axId val="1396562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9656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3A6B"/>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259976</xdr:colOff>
      <xdr:row>17</xdr:row>
      <xdr:rowOff>161365</xdr:rowOff>
    </xdr:to>
    <xdr:graphicFrame macro="">
      <xdr:nvGraphicFramePr>
        <xdr:cNvPr id="2" name="Chart 1">
          <a:extLst>
            <a:ext uri="{FF2B5EF4-FFF2-40B4-BE49-F238E27FC236}">
              <a16:creationId xmlns:a16="http://schemas.microsoft.com/office/drawing/2014/main" id="{5B77EA0E-A63A-48E1-AE57-622D8CFFE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35860</xdr:colOff>
      <xdr:row>2</xdr:row>
      <xdr:rowOff>0</xdr:rowOff>
    </xdr:from>
    <xdr:to>
      <xdr:col>15</xdr:col>
      <xdr:colOff>565356</xdr:colOff>
      <xdr:row>13</xdr:row>
      <xdr:rowOff>92424</xdr:rowOff>
    </xdr:to>
    <xdr:graphicFrame macro="">
      <xdr:nvGraphicFramePr>
        <xdr:cNvPr id="3" name="Chart 2">
          <a:extLst>
            <a:ext uri="{FF2B5EF4-FFF2-40B4-BE49-F238E27FC236}">
              <a16:creationId xmlns:a16="http://schemas.microsoft.com/office/drawing/2014/main" id="{68F69A93-0C2C-4ABD-A093-3D8D10D6F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13</xdr:row>
      <xdr:rowOff>179293</xdr:rowOff>
    </xdr:from>
    <xdr:to>
      <xdr:col>16</xdr:col>
      <xdr:colOff>147486</xdr:colOff>
      <xdr:row>27</xdr:row>
      <xdr:rowOff>127241</xdr:rowOff>
    </xdr:to>
    <xdr:graphicFrame macro="">
      <xdr:nvGraphicFramePr>
        <xdr:cNvPr id="4" name="Chart 3">
          <a:extLst>
            <a:ext uri="{FF2B5EF4-FFF2-40B4-BE49-F238E27FC236}">
              <a16:creationId xmlns:a16="http://schemas.microsoft.com/office/drawing/2014/main" id="{971A1018-79D7-43A5-BC3F-6EE755566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152399</xdr:colOff>
      <xdr:row>22</xdr:row>
      <xdr:rowOff>98613</xdr:rowOff>
    </xdr:from>
    <xdr:to>
      <xdr:col>7</xdr:col>
      <xdr:colOff>528918</xdr:colOff>
      <xdr:row>37</xdr:row>
      <xdr:rowOff>71718</xdr:rowOff>
    </xdr:to>
    <xdr:graphicFrame macro="">
      <xdr:nvGraphicFramePr>
        <xdr:cNvPr id="5" name="Chart 4">
          <a:extLst>
            <a:ext uri="{FF2B5EF4-FFF2-40B4-BE49-F238E27FC236}">
              <a16:creationId xmlns:a16="http://schemas.microsoft.com/office/drawing/2014/main" id="{56308FAA-53F6-4E3C-B1E7-C1E38D0EE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548340</xdr:colOff>
      <xdr:row>36</xdr:row>
      <xdr:rowOff>49306</xdr:rowOff>
    </xdr:from>
    <xdr:to>
      <xdr:col>21</xdr:col>
      <xdr:colOff>234575</xdr:colOff>
      <xdr:row>54</xdr:row>
      <xdr:rowOff>22412</xdr:rowOff>
    </xdr:to>
    <xdr:graphicFrame macro="">
      <xdr:nvGraphicFramePr>
        <xdr:cNvPr id="6" name="Chart 5">
          <a:extLst>
            <a:ext uri="{FF2B5EF4-FFF2-40B4-BE49-F238E27FC236}">
              <a16:creationId xmlns:a16="http://schemas.microsoft.com/office/drawing/2014/main" id="{04E64501-7FDA-44F8-8FE2-412B29605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29</xdr:row>
      <xdr:rowOff>0</xdr:rowOff>
    </xdr:from>
    <xdr:to>
      <xdr:col>13</xdr:col>
      <xdr:colOff>289560</xdr:colOff>
      <xdr:row>36</xdr:row>
      <xdr:rowOff>116541</xdr:rowOff>
    </xdr:to>
    <mc:AlternateContent xmlns:mc="http://schemas.openxmlformats.org/markup-compatibility/2006" xmlns:tsle="http://schemas.microsoft.com/office/drawing/2012/timeslicer">
      <mc:Choice Requires="tsle">
        <xdr:graphicFrame macro="">
          <xdr:nvGraphicFramePr>
            <xdr:cNvPr id="7" name="Disbursement_Date">
              <a:extLst>
                <a:ext uri="{FF2B5EF4-FFF2-40B4-BE49-F238E27FC236}">
                  <a16:creationId xmlns:a16="http://schemas.microsoft.com/office/drawing/2014/main" id="{C4A1A1F3-CADB-4CE6-B690-BB8156EEABF3}"/>
                </a:ext>
              </a:extLst>
            </xdr:cNvPr>
            <xdr:cNvGraphicFramePr/>
          </xdr:nvGraphicFramePr>
          <xdr:xfrm>
            <a:off x="0" y="0"/>
            <a:ext cx="0" cy="0"/>
          </xdr:xfrm>
          <a:graphic>
            <a:graphicData uri="http://schemas.microsoft.com/office/drawing/2012/timeslicer">
              <tsle:timeslicer name="Disbursement_Date"/>
            </a:graphicData>
          </a:graphic>
        </xdr:graphicFrame>
      </mc:Choice>
      <mc:Fallback xmlns="">
        <xdr:sp macro="" textlink="">
          <xdr:nvSpPr>
            <xdr:cNvPr id="0" name=""/>
            <xdr:cNvSpPr>
              <a:spLocks noTextEdit="1"/>
            </xdr:cNvSpPr>
          </xdr:nvSpPr>
          <xdr:spPr>
            <a:xfrm>
              <a:off x="4876800" y="5199529"/>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17</xdr:col>
      <xdr:colOff>565672</xdr:colOff>
      <xdr:row>14</xdr:row>
      <xdr:rowOff>80682</xdr:rowOff>
    </xdr:from>
    <xdr:to>
      <xdr:col>25</xdr:col>
      <xdr:colOff>77545</xdr:colOff>
      <xdr:row>19</xdr:row>
      <xdr:rowOff>44824</xdr:rowOff>
    </xdr:to>
    <mc:AlternateContent xmlns:mc="http://schemas.openxmlformats.org/markup-compatibility/2006" xmlns:a14="http://schemas.microsoft.com/office/drawing/2010/main">
      <mc:Choice Requires="a14">
        <xdr:graphicFrame macro="">
          <xdr:nvGraphicFramePr>
            <xdr:cNvPr id="13" name="Loan_Status">
              <a:extLst>
                <a:ext uri="{FF2B5EF4-FFF2-40B4-BE49-F238E27FC236}">
                  <a16:creationId xmlns:a16="http://schemas.microsoft.com/office/drawing/2014/main" id="{F566CC6B-0BAF-4982-B035-3E3919966EA4}"/>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0928872" y="2590800"/>
              <a:ext cx="4388673" cy="8606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116541</xdr:colOff>
      <xdr:row>20</xdr:row>
      <xdr:rowOff>75752</xdr:rowOff>
    </xdr:from>
    <xdr:to>
      <xdr:col>22</xdr:col>
      <xdr:colOff>211120</xdr:colOff>
      <xdr:row>26</xdr:row>
      <xdr:rowOff>152401</xdr:rowOff>
    </xdr:to>
    <mc:AlternateContent xmlns:mc="http://schemas.openxmlformats.org/markup-compatibility/2006" xmlns:a14="http://schemas.microsoft.com/office/drawing/2010/main">
      <mc:Choice Requires="a14">
        <xdr:graphicFrame macro="">
          <xdr:nvGraphicFramePr>
            <xdr:cNvPr id="12" name="Loan_Purpose">
              <a:extLst>
                <a:ext uri="{FF2B5EF4-FFF2-40B4-BE49-F238E27FC236}">
                  <a16:creationId xmlns:a16="http://schemas.microsoft.com/office/drawing/2014/main" id="{9AC21ED2-549C-4A16-BB94-14FA1F56B4E0}"/>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0479741" y="3661634"/>
              <a:ext cx="3142579" cy="11524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330796</xdr:colOff>
      <xdr:row>20</xdr:row>
      <xdr:rowOff>78890</xdr:rowOff>
    </xdr:from>
    <xdr:to>
      <xdr:col>27</xdr:col>
      <xdr:colOff>493058</xdr:colOff>
      <xdr:row>26</xdr:row>
      <xdr:rowOff>125506</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17C42E39-7F51-944A-80DA-E4ED67D0661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741996" y="3664772"/>
              <a:ext cx="3210262" cy="11223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43176</xdr:rowOff>
    </xdr:from>
    <xdr:to>
      <xdr:col>10</xdr:col>
      <xdr:colOff>414759</xdr:colOff>
      <xdr:row>10</xdr:row>
      <xdr:rowOff>298247</xdr:rowOff>
    </xdr:to>
    <mc:AlternateContent xmlns:mc="http://schemas.openxmlformats.org/markup-compatibility/2006">
      <mc:Choice xmlns:tsle="http://schemas.microsoft.com/office/drawing/2012/timeslicer" Requires="tsle">
        <xdr:graphicFrame macro="">
          <xdr:nvGraphicFramePr>
            <xdr:cNvPr id="2" name="Disbursement_Date 1">
              <a:extLst>
                <a:ext uri="{FF2B5EF4-FFF2-40B4-BE49-F238E27FC236}">
                  <a16:creationId xmlns:a16="http://schemas.microsoft.com/office/drawing/2014/main" id="{6122664F-EBB2-4213-9CE2-02128C87AB6C}"/>
                </a:ext>
              </a:extLst>
            </xdr:cNvPr>
            <xdr:cNvGraphicFramePr/>
          </xdr:nvGraphicFramePr>
          <xdr:xfrm>
            <a:off x="0" y="0"/>
            <a:ext cx="0" cy="0"/>
          </xdr:xfrm>
          <a:graphic>
            <a:graphicData uri="http://schemas.microsoft.com/office/drawing/2012/timeslicer">
              <tsle:timeslicer xmlns:tsle="http://schemas.microsoft.com/office/drawing/2012/timeslicer" name="Disbursement_Date 1"/>
            </a:graphicData>
          </a:graphic>
        </xdr:graphicFrame>
      </mc:Choice>
      <mc:Fallback>
        <xdr:sp macro="" textlink="">
          <xdr:nvSpPr>
            <xdr:cNvPr id="0" name=""/>
            <xdr:cNvSpPr>
              <a:spLocks noTextEdit="1"/>
            </xdr:cNvSpPr>
          </xdr:nvSpPr>
          <xdr:spPr>
            <a:xfrm>
              <a:off x="161636" y="678176"/>
              <a:ext cx="5921941" cy="136343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10</xdr:col>
      <xdr:colOff>446234</xdr:colOff>
      <xdr:row>3</xdr:row>
      <xdr:rowOff>56176</xdr:rowOff>
    </xdr:from>
    <xdr:to>
      <xdr:col>17</xdr:col>
      <xdr:colOff>68854</xdr:colOff>
      <xdr:row>12</xdr:row>
      <xdr:rowOff>8155</xdr:rowOff>
    </xdr:to>
    <mc:AlternateContent xmlns:mc="http://schemas.openxmlformats.org/markup-compatibility/2006">
      <mc:Choice xmlns:a14="http://schemas.microsoft.com/office/drawing/2010/main" Requires="a14">
        <xdr:graphicFrame macro="">
          <xdr:nvGraphicFramePr>
            <xdr:cNvPr id="6" name="Loan_Status 1">
              <a:extLst>
                <a:ext uri="{FF2B5EF4-FFF2-40B4-BE49-F238E27FC236}">
                  <a16:creationId xmlns:a16="http://schemas.microsoft.com/office/drawing/2014/main" id="{EAA63B75-0365-4179-A889-6E6301953A3F}"/>
                </a:ext>
              </a:extLst>
            </xdr:cNvPr>
            <xdr:cNvGraphicFramePr/>
          </xdr:nvGraphicFramePr>
          <xdr:xfrm>
            <a:off x="0" y="0"/>
            <a:ext cx="0" cy="0"/>
          </xdr:xfrm>
          <a:graphic>
            <a:graphicData uri="http://schemas.microsoft.com/office/drawing/2010/slicer">
              <sle:slicer xmlns:sle="http://schemas.microsoft.com/office/drawing/2010/slicer" name="Loan_Status 1"/>
            </a:graphicData>
          </a:graphic>
        </xdr:graphicFrame>
      </mc:Choice>
      <mc:Fallback>
        <xdr:sp macro="" textlink="">
          <xdr:nvSpPr>
            <xdr:cNvPr id="0" name=""/>
            <xdr:cNvSpPr>
              <a:spLocks noTextEdit="1"/>
            </xdr:cNvSpPr>
          </xdr:nvSpPr>
          <xdr:spPr>
            <a:xfrm>
              <a:off x="6115052" y="691176"/>
              <a:ext cx="3905984" cy="13836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65693</xdr:colOff>
      <xdr:row>3</xdr:row>
      <xdr:rowOff>47545</xdr:rowOff>
    </xdr:from>
    <xdr:to>
      <xdr:col>22</xdr:col>
      <xdr:colOff>396007</xdr:colOff>
      <xdr:row>12</xdr:row>
      <xdr:rowOff>19857</xdr:rowOff>
    </xdr:to>
    <mc:AlternateContent xmlns:mc="http://schemas.openxmlformats.org/markup-compatibility/2006">
      <mc:Choice xmlns:a14="http://schemas.microsoft.com/office/drawing/2010/main" Requires="a14">
        <xdr:graphicFrame macro="">
          <xdr:nvGraphicFramePr>
            <xdr:cNvPr id="7" name="Loan_Purpose 1">
              <a:extLst>
                <a:ext uri="{FF2B5EF4-FFF2-40B4-BE49-F238E27FC236}">
                  <a16:creationId xmlns:a16="http://schemas.microsoft.com/office/drawing/2014/main" id="{699DB5A6-F275-4556-BE19-6D4CCF547053}"/>
                </a:ext>
              </a:extLst>
            </xdr:cNvPr>
            <xdr:cNvGraphicFramePr/>
          </xdr:nvGraphicFramePr>
          <xdr:xfrm>
            <a:off x="0" y="0"/>
            <a:ext cx="0" cy="0"/>
          </xdr:xfrm>
          <a:graphic>
            <a:graphicData uri="http://schemas.microsoft.com/office/drawing/2010/slicer">
              <sle:slicer xmlns:sle="http://schemas.microsoft.com/office/drawing/2010/slicer" name="Loan_Purpose 1"/>
            </a:graphicData>
          </a:graphic>
        </xdr:graphicFrame>
      </mc:Choice>
      <mc:Fallback>
        <xdr:sp macro="" textlink="">
          <xdr:nvSpPr>
            <xdr:cNvPr id="0" name=""/>
            <xdr:cNvSpPr>
              <a:spLocks noTextEdit="1"/>
            </xdr:cNvSpPr>
          </xdr:nvSpPr>
          <xdr:spPr>
            <a:xfrm>
              <a:off x="10017875" y="682545"/>
              <a:ext cx="3389859" cy="14039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381300</xdr:colOff>
      <xdr:row>3</xdr:row>
      <xdr:rowOff>56301</xdr:rowOff>
    </xdr:from>
    <xdr:to>
      <xdr:col>28</xdr:col>
      <xdr:colOff>67373</xdr:colOff>
      <xdr:row>12</xdr:row>
      <xdr:rowOff>8032</xdr:rowOff>
    </xdr:to>
    <mc:AlternateContent xmlns:mc="http://schemas.openxmlformats.org/markup-compatibility/2006">
      <mc:Choice xmlns:a14="http://schemas.microsoft.com/office/drawing/2010/main" Requires="a14">
        <xdr:graphicFrame macro="">
          <xdr:nvGraphicFramePr>
            <xdr:cNvPr id="8" name="City 1">
              <a:extLst>
                <a:ext uri="{FF2B5EF4-FFF2-40B4-BE49-F238E27FC236}">
                  <a16:creationId xmlns:a16="http://schemas.microsoft.com/office/drawing/2014/main" id="{871DC2FF-3FBC-4913-9422-FDFCD95846C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3393027" y="691301"/>
              <a:ext cx="3357528" cy="1383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96344</xdr:colOff>
      <xdr:row>12</xdr:row>
      <xdr:rowOff>88355</xdr:rowOff>
    </xdr:from>
    <xdr:to>
      <xdr:col>5</xdr:col>
      <xdr:colOff>185615</xdr:colOff>
      <xdr:row>17</xdr:row>
      <xdr:rowOff>127441</xdr:rowOff>
    </xdr:to>
    <xdr:sp macro="" textlink="">
      <xdr:nvSpPr>
        <xdr:cNvPr id="9" name="Rectangle: Rounded Corners 8">
          <a:extLst>
            <a:ext uri="{FF2B5EF4-FFF2-40B4-BE49-F238E27FC236}">
              <a16:creationId xmlns:a16="http://schemas.microsoft.com/office/drawing/2014/main" id="{27917AFB-FA5C-D12F-A058-6DAFFCDB82C1}"/>
            </a:ext>
          </a:extLst>
        </xdr:cNvPr>
        <xdr:cNvSpPr/>
      </xdr:nvSpPr>
      <xdr:spPr>
        <a:xfrm>
          <a:off x="252652" y="2257124"/>
          <a:ext cx="2512040" cy="967163"/>
        </a:xfrm>
        <a:prstGeom prst="roundRect">
          <a:avLst>
            <a:gd name="adj" fmla="val 27043"/>
          </a:avLst>
        </a:prstGeom>
        <a:solidFill>
          <a:srgbClr val="1B3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effectLst/>
            </a:rPr>
            <a:t> </a:t>
          </a:r>
        </a:p>
        <a:p>
          <a:pPr algn="l"/>
          <a:endParaRPr lang="en-GB" sz="1600">
            <a:effectLst/>
          </a:endParaRPr>
        </a:p>
        <a:p>
          <a:pPr algn="l"/>
          <a:endParaRPr lang="en-GB" sz="1600"/>
        </a:p>
      </xdr:txBody>
    </xdr:sp>
    <xdr:clientData/>
  </xdr:twoCellAnchor>
  <xdr:twoCellAnchor>
    <xdr:from>
      <xdr:col>1</xdr:col>
      <xdr:colOff>481726</xdr:colOff>
      <xdr:row>12</xdr:row>
      <xdr:rowOff>92075</xdr:rowOff>
    </xdr:from>
    <xdr:to>
      <xdr:col>4</xdr:col>
      <xdr:colOff>201449</xdr:colOff>
      <xdr:row>13</xdr:row>
      <xdr:rowOff>144627</xdr:rowOff>
    </xdr:to>
    <xdr:sp macro="" textlink="">
      <xdr:nvSpPr>
        <xdr:cNvPr id="22" name="TextBox 21">
          <a:extLst>
            <a:ext uri="{FF2B5EF4-FFF2-40B4-BE49-F238E27FC236}">
              <a16:creationId xmlns:a16="http://schemas.microsoft.com/office/drawing/2014/main" id="{4C9C393A-0E64-B46A-0A94-39CE3523E3C7}"/>
            </a:ext>
          </a:extLst>
        </xdr:cNvPr>
        <xdr:cNvSpPr txBox="1"/>
      </xdr:nvSpPr>
      <xdr:spPr>
        <a:xfrm>
          <a:off x="639381" y="2106558"/>
          <a:ext cx="1559034"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Lato Black" panose="020F0A02020204030203" pitchFamily="34" charset="0"/>
            </a:rPr>
            <a:t>TOTAL</a:t>
          </a:r>
          <a:r>
            <a:rPr lang="en-GB" sz="1200" b="1" baseline="0">
              <a:solidFill>
                <a:schemeClr val="bg1"/>
              </a:solidFill>
              <a:latin typeface="Lato Black" panose="020F0A02020204030203" pitchFamily="34" charset="0"/>
            </a:rPr>
            <a:t> LOANS</a:t>
          </a:r>
          <a:endParaRPr lang="en-GB" sz="1200" b="1">
            <a:solidFill>
              <a:schemeClr val="bg1"/>
            </a:solidFill>
            <a:latin typeface="Lato Black" panose="020F0A02020204030203" pitchFamily="34" charset="0"/>
          </a:endParaRPr>
        </a:p>
      </xdr:txBody>
    </xdr:sp>
    <xdr:clientData/>
  </xdr:twoCellAnchor>
  <xdr:twoCellAnchor>
    <xdr:from>
      <xdr:col>1</xdr:col>
      <xdr:colOff>464188</xdr:colOff>
      <xdr:row>13</xdr:row>
      <xdr:rowOff>123935</xdr:rowOff>
    </xdr:from>
    <xdr:to>
      <xdr:col>4</xdr:col>
      <xdr:colOff>113861</xdr:colOff>
      <xdr:row>15</xdr:row>
      <xdr:rowOff>1314</xdr:rowOff>
    </xdr:to>
    <xdr:sp macro="" textlink="KPI!A23">
      <xdr:nvSpPr>
        <xdr:cNvPr id="23" name="TextBox 22">
          <a:extLst>
            <a:ext uri="{FF2B5EF4-FFF2-40B4-BE49-F238E27FC236}">
              <a16:creationId xmlns:a16="http://schemas.microsoft.com/office/drawing/2014/main" id="{FE98533C-F2EC-627E-7315-41AC74839316}"/>
            </a:ext>
          </a:extLst>
        </xdr:cNvPr>
        <xdr:cNvSpPr txBox="1"/>
      </xdr:nvSpPr>
      <xdr:spPr>
        <a:xfrm>
          <a:off x="628163" y="2149505"/>
          <a:ext cx="1472685" cy="24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FFE54E-EB70-4D0A-AF66-04E132CDDDCB}" type="TxLink">
            <a:rPr lang="en-US" sz="2000" b="1" i="0" u="none" strike="noStrike">
              <a:solidFill>
                <a:schemeClr val="bg1"/>
              </a:solidFill>
              <a:latin typeface="Lato Black" panose="020F0A02020204030203" pitchFamily="34" charset="0"/>
              <a:ea typeface="Calibri"/>
              <a:cs typeface="Calibri"/>
            </a:rPr>
            <a:pPr algn="ctr"/>
            <a:t>500</a:t>
          </a:fld>
          <a:endParaRPr lang="en-GB" sz="2000" b="1">
            <a:solidFill>
              <a:schemeClr val="bg1"/>
            </a:solidFill>
            <a:latin typeface="Lato Black" panose="020F0A02020204030203" pitchFamily="34" charset="0"/>
          </a:endParaRPr>
        </a:p>
      </xdr:txBody>
    </xdr:sp>
    <xdr:clientData/>
  </xdr:twoCellAnchor>
  <xdr:twoCellAnchor>
    <xdr:from>
      <xdr:col>1</xdr:col>
      <xdr:colOff>367862</xdr:colOff>
      <xdr:row>14</xdr:row>
      <xdr:rowOff>167837</xdr:rowOff>
    </xdr:from>
    <xdr:to>
      <xdr:col>2</xdr:col>
      <xdr:colOff>332827</xdr:colOff>
      <xdr:row>15</xdr:row>
      <xdr:rowOff>176596</xdr:rowOff>
    </xdr:to>
    <xdr:sp macro="" textlink="">
      <xdr:nvSpPr>
        <xdr:cNvPr id="3" name="TextBox 2">
          <a:extLst>
            <a:ext uri="{FF2B5EF4-FFF2-40B4-BE49-F238E27FC236}">
              <a16:creationId xmlns:a16="http://schemas.microsoft.com/office/drawing/2014/main" id="{18B1AD67-4CCF-4789-9276-C9BF256E0E24}"/>
            </a:ext>
          </a:extLst>
        </xdr:cNvPr>
        <xdr:cNvSpPr txBox="1"/>
      </xdr:nvSpPr>
      <xdr:spPr>
        <a:xfrm>
          <a:off x="525517"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MTD</a:t>
          </a:r>
        </a:p>
      </xdr:txBody>
    </xdr:sp>
    <xdr:clientData/>
  </xdr:twoCellAnchor>
  <xdr:twoCellAnchor>
    <xdr:from>
      <xdr:col>3</xdr:col>
      <xdr:colOff>283779</xdr:colOff>
      <xdr:row>14</xdr:row>
      <xdr:rowOff>167837</xdr:rowOff>
    </xdr:from>
    <xdr:to>
      <xdr:col>4</xdr:col>
      <xdr:colOff>248744</xdr:colOff>
      <xdr:row>15</xdr:row>
      <xdr:rowOff>176596</xdr:rowOff>
    </xdr:to>
    <xdr:sp macro="" textlink="">
      <xdr:nvSpPr>
        <xdr:cNvPr id="4" name="TextBox 3">
          <a:extLst>
            <a:ext uri="{FF2B5EF4-FFF2-40B4-BE49-F238E27FC236}">
              <a16:creationId xmlns:a16="http://schemas.microsoft.com/office/drawing/2014/main" id="{DE2D72DC-395C-4A38-8FFC-90C66A317DF4}"/>
            </a:ext>
          </a:extLst>
        </xdr:cNvPr>
        <xdr:cNvSpPr txBox="1"/>
      </xdr:nvSpPr>
      <xdr:spPr>
        <a:xfrm>
          <a:off x="1667641"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MTM</a:t>
          </a:r>
        </a:p>
      </xdr:txBody>
    </xdr:sp>
    <xdr:clientData/>
  </xdr:twoCellAnchor>
  <xdr:twoCellAnchor>
    <xdr:from>
      <xdr:col>1</xdr:col>
      <xdr:colOff>341586</xdr:colOff>
      <xdr:row>16</xdr:row>
      <xdr:rowOff>2188</xdr:rowOff>
    </xdr:from>
    <xdr:to>
      <xdr:col>2</xdr:col>
      <xdr:colOff>306551</xdr:colOff>
      <xdr:row>17</xdr:row>
      <xdr:rowOff>10947</xdr:rowOff>
    </xdr:to>
    <xdr:sp macro="" textlink="KPI!B30">
      <xdr:nvSpPr>
        <xdr:cNvPr id="5" name="TextBox 4">
          <a:extLst>
            <a:ext uri="{FF2B5EF4-FFF2-40B4-BE49-F238E27FC236}">
              <a16:creationId xmlns:a16="http://schemas.microsoft.com/office/drawing/2014/main" id="{25C4A6DA-151E-487D-AFB5-8BD801854D8F}"/>
            </a:ext>
          </a:extLst>
        </xdr:cNvPr>
        <xdr:cNvSpPr txBox="1"/>
      </xdr:nvSpPr>
      <xdr:spPr>
        <a:xfrm>
          <a:off x="499241" y="2752395"/>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AB9D8B-3DB0-4BA0-9F64-9C2002554D07}" type="TxLink">
            <a:rPr lang="en-US" sz="1100" b="1" i="0" u="none" strike="noStrike">
              <a:solidFill>
                <a:schemeClr val="bg1">
                  <a:lumMod val="85000"/>
                </a:schemeClr>
              </a:solidFill>
              <a:latin typeface="Segoe UI Semibold" panose="020B0702040204020203" pitchFamily="34" charset="0"/>
              <a:ea typeface="Calibri"/>
              <a:cs typeface="Segoe UI Semibold" panose="020B0702040204020203" pitchFamily="34" charset="0"/>
            </a:rPr>
            <a:t>36</a:t>
          </a:fld>
          <a:endParaRPr lang="en-GB" sz="1200" b="1">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148896</xdr:colOff>
      <xdr:row>15</xdr:row>
      <xdr:rowOff>122619</xdr:rowOff>
    </xdr:from>
    <xdr:to>
      <xdr:col>4</xdr:col>
      <xdr:colOff>420414</xdr:colOff>
      <xdr:row>17</xdr:row>
      <xdr:rowOff>74447</xdr:rowOff>
    </xdr:to>
    <xdr:sp macro="" textlink="KPI!B40">
      <xdr:nvSpPr>
        <xdr:cNvPr id="11" name="TextBox 10">
          <a:extLst>
            <a:ext uri="{FF2B5EF4-FFF2-40B4-BE49-F238E27FC236}">
              <a16:creationId xmlns:a16="http://schemas.microsoft.com/office/drawing/2014/main" id="{BC78AA7D-AB05-41E4-A1A1-BF0C82B19C63}"/>
            </a:ext>
          </a:extLst>
        </xdr:cNvPr>
        <xdr:cNvSpPr txBox="1"/>
      </xdr:nvSpPr>
      <xdr:spPr>
        <a:xfrm>
          <a:off x="1532758" y="2688895"/>
          <a:ext cx="884622" cy="319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963BFD-B9DD-4437-9627-D429FBCE4B2F}"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-29.4%</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335911</xdr:colOff>
      <xdr:row>12</xdr:row>
      <xdr:rowOff>87736</xdr:rowOff>
    </xdr:from>
    <xdr:to>
      <xdr:col>9</xdr:col>
      <xdr:colOff>425942</xdr:colOff>
      <xdr:row>17</xdr:row>
      <xdr:rowOff>128059</xdr:rowOff>
    </xdr:to>
    <xdr:sp macro="" textlink="">
      <xdr:nvSpPr>
        <xdr:cNvPr id="25" name="Rectangle: Rounded Corners 24">
          <a:extLst>
            <a:ext uri="{FF2B5EF4-FFF2-40B4-BE49-F238E27FC236}">
              <a16:creationId xmlns:a16="http://schemas.microsoft.com/office/drawing/2014/main" id="{2591D156-962F-4584-BA11-064C07662742}"/>
            </a:ext>
          </a:extLst>
        </xdr:cNvPr>
        <xdr:cNvSpPr/>
      </xdr:nvSpPr>
      <xdr:spPr>
        <a:xfrm>
          <a:off x="2914988" y="2256505"/>
          <a:ext cx="2512800" cy="968400"/>
        </a:xfrm>
        <a:prstGeom prst="roundRect">
          <a:avLst>
            <a:gd name="adj" fmla="val 28096"/>
          </a:avLst>
        </a:prstGeom>
        <a:solidFill>
          <a:srgbClr val="1B3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a:solidFill>
                <a:schemeClr val="lt1"/>
              </a:solidFill>
              <a:effectLst/>
              <a:latin typeface="+mn-lt"/>
              <a:ea typeface="+mn-ea"/>
              <a:cs typeface="+mn-cs"/>
            </a:rPr>
            <a:t> </a:t>
          </a:r>
        </a:p>
        <a:p>
          <a:pPr marL="0" indent="0" algn="l"/>
          <a:endParaRPr lang="en-GB" sz="1600">
            <a:solidFill>
              <a:schemeClr val="lt1"/>
            </a:solidFill>
            <a:effectLst/>
            <a:latin typeface="+mn-lt"/>
            <a:ea typeface="+mn-ea"/>
            <a:cs typeface="+mn-cs"/>
          </a:endParaRPr>
        </a:p>
        <a:p>
          <a:pPr marL="0" indent="0" algn="l"/>
          <a:endParaRPr lang="en-GB" sz="1600">
            <a:solidFill>
              <a:schemeClr val="lt1"/>
            </a:solidFill>
            <a:effectLst/>
            <a:latin typeface="+mn-lt"/>
            <a:ea typeface="+mn-ea"/>
            <a:cs typeface="+mn-cs"/>
          </a:endParaRPr>
        </a:p>
      </xdr:txBody>
    </xdr:sp>
    <xdr:clientData/>
  </xdr:twoCellAnchor>
  <xdr:twoCellAnchor>
    <xdr:from>
      <xdr:col>9</xdr:col>
      <xdr:colOff>576238</xdr:colOff>
      <xdr:row>12</xdr:row>
      <xdr:rowOff>87736</xdr:rowOff>
    </xdr:from>
    <xdr:to>
      <xdr:col>14</xdr:col>
      <xdr:colOff>60576</xdr:colOff>
      <xdr:row>17</xdr:row>
      <xdr:rowOff>128059</xdr:rowOff>
    </xdr:to>
    <xdr:sp macro="" textlink="">
      <xdr:nvSpPr>
        <xdr:cNvPr id="26" name="Rectangle: Rounded Corners 25">
          <a:extLst>
            <a:ext uri="{FF2B5EF4-FFF2-40B4-BE49-F238E27FC236}">
              <a16:creationId xmlns:a16="http://schemas.microsoft.com/office/drawing/2014/main" id="{F84409C3-F665-4FC6-A499-F402B727B86E}"/>
            </a:ext>
          </a:extLst>
        </xdr:cNvPr>
        <xdr:cNvSpPr/>
      </xdr:nvSpPr>
      <xdr:spPr>
        <a:xfrm>
          <a:off x="5578084" y="2256505"/>
          <a:ext cx="2512800" cy="968400"/>
        </a:xfrm>
        <a:prstGeom prst="roundRect">
          <a:avLst>
            <a:gd name="adj" fmla="val 28096"/>
          </a:avLst>
        </a:prstGeom>
        <a:solidFill>
          <a:srgbClr val="1B3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a:solidFill>
                <a:schemeClr val="lt1"/>
              </a:solidFill>
              <a:effectLst/>
              <a:latin typeface="+mn-lt"/>
              <a:ea typeface="+mn-ea"/>
              <a:cs typeface="+mn-cs"/>
            </a:rPr>
            <a:t> </a:t>
          </a:r>
        </a:p>
        <a:p>
          <a:pPr marL="0" indent="0" algn="l"/>
          <a:endParaRPr lang="en-GB" sz="1600">
            <a:solidFill>
              <a:schemeClr val="lt1"/>
            </a:solidFill>
            <a:effectLst/>
            <a:latin typeface="+mn-lt"/>
            <a:ea typeface="+mn-ea"/>
            <a:cs typeface="+mn-cs"/>
          </a:endParaRPr>
        </a:p>
        <a:p>
          <a:pPr marL="0" indent="0" algn="l"/>
          <a:endParaRPr lang="en-GB" sz="1600">
            <a:solidFill>
              <a:schemeClr val="lt1"/>
            </a:solidFill>
            <a:effectLst/>
            <a:latin typeface="+mn-lt"/>
            <a:ea typeface="+mn-ea"/>
            <a:cs typeface="+mn-cs"/>
          </a:endParaRPr>
        </a:p>
      </xdr:txBody>
    </xdr:sp>
    <xdr:clientData/>
  </xdr:twoCellAnchor>
  <xdr:twoCellAnchor>
    <xdr:from>
      <xdr:col>23</xdr:col>
      <xdr:colOff>85835</xdr:colOff>
      <xdr:row>12</xdr:row>
      <xdr:rowOff>87736</xdr:rowOff>
    </xdr:from>
    <xdr:to>
      <xdr:col>27</xdr:col>
      <xdr:colOff>175865</xdr:colOff>
      <xdr:row>17</xdr:row>
      <xdr:rowOff>128059</xdr:rowOff>
    </xdr:to>
    <xdr:sp macro="" textlink="">
      <xdr:nvSpPr>
        <xdr:cNvPr id="27" name="Rectangle: Rounded Corners 26">
          <a:extLst>
            <a:ext uri="{FF2B5EF4-FFF2-40B4-BE49-F238E27FC236}">
              <a16:creationId xmlns:a16="http://schemas.microsoft.com/office/drawing/2014/main" id="{E67CDC5F-543E-4F09-BCBA-DFB1AEB17558}"/>
            </a:ext>
          </a:extLst>
        </xdr:cNvPr>
        <xdr:cNvSpPr/>
      </xdr:nvSpPr>
      <xdr:spPr>
        <a:xfrm>
          <a:off x="13567373" y="2256505"/>
          <a:ext cx="2512800" cy="968400"/>
        </a:xfrm>
        <a:prstGeom prst="roundRect">
          <a:avLst>
            <a:gd name="adj" fmla="val 28096"/>
          </a:avLst>
        </a:prstGeom>
        <a:solidFill>
          <a:srgbClr val="1B3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effectLst/>
            </a:rPr>
            <a:t> </a:t>
          </a:r>
        </a:p>
        <a:p>
          <a:pPr algn="l"/>
          <a:endParaRPr lang="en-GB" sz="1600">
            <a:effectLst/>
          </a:endParaRPr>
        </a:p>
        <a:p>
          <a:pPr algn="l"/>
          <a:endParaRPr lang="en-GB" sz="1600"/>
        </a:p>
      </xdr:txBody>
    </xdr:sp>
    <xdr:clientData/>
  </xdr:twoCellAnchor>
  <xdr:twoCellAnchor>
    <xdr:from>
      <xdr:col>14</xdr:col>
      <xdr:colOff>210872</xdr:colOff>
      <xdr:row>12</xdr:row>
      <xdr:rowOff>87736</xdr:rowOff>
    </xdr:from>
    <xdr:to>
      <xdr:col>18</xdr:col>
      <xdr:colOff>300903</xdr:colOff>
      <xdr:row>17</xdr:row>
      <xdr:rowOff>128059</xdr:rowOff>
    </xdr:to>
    <xdr:sp macro="" textlink="">
      <xdr:nvSpPr>
        <xdr:cNvPr id="28" name="Rectangle: Rounded Corners 27">
          <a:extLst>
            <a:ext uri="{FF2B5EF4-FFF2-40B4-BE49-F238E27FC236}">
              <a16:creationId xmlns:a16="http://schemas.microsoft.com/office/drawing/2014/main" id="{00970705-951F-457E-B098-A507D1F51B24}"/>
            </a:ext>
          </a:extLst>
        </xdr:cNvPr>
        <xdr:cNvSpPr/>
      </xdr:nvSpPr>
      <xdr:spPr>
        <a:xfrm>
          <a:off x="8241180" y="2256505"/>
          <a:ext cx="2512800" cy="968400"/>
        </a:xfrm>
        <a:prstGeom prst="roundRect">
          <a:avLst>
            <a:gd name="adj" fmla="val 28096"/>
          </a:avLst>
        </a:prstGeom>
        <a:solidFill>
          <a:srgbClr val="1B3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effectLst/>
            </a:rPr>
            <a:t> </a:t>
          </a:r>
        </a:p>
        <a:p>
          <a:pPr algn="l"/>
          <a:endParaRPr lang="en-GB" sz="1600">
            <a:effectLst/>
          </a:endParaRPr>
        </a:p>
        <a:p>
          <a:pPr algn="l"/>
          <a:endParaRPr lang="en-GB" sz="1600"/>
        </a:p>
      </xdr:txBody>
    </xdr:sp>
    <xdr:clientData/>
  </xdr:twoCellAnchor>
  <xdr:twoCellAnchor>
    <xdr:from>
      <xdr:col>18</xdr:col>
      <xdr:colOff>451199</xdr:colOff>
      <xdr:row>12</xdr:row>
      <xdr:rowOff>88355</xdr:rowOff>
    </xdr:from>
    <xdr:to>
      <xdr:col>22</xdr:col>
      <xdr:colOff>541230</xdr:colOff>
      <xdr:row>17</xdr:row>
      <xdr:rowOff>127441</xdr:rowOff>
    </xdr:to>
    <xdr:sp macro="" textlink="">
      <xdr:nvSpPr>
        <xdr:cNvPr id="29" name="Rectangle: Rounded Corners 28">
          <a:extLst>
            <a:ext uri="{FF2B5EF4-FFF2-40B4-BE49-F238E27FC236}">
              <a16:creationId xmlns:a16="http://schemas.microsoft.com/office/drawing/2014/main" id="{5E0B0040-1962-40FE-BB0C-1380B2CF7A9A}"/>
            </a:ext>
          </a:extLst>
        </xdr:cNvPr>
        <xdr:cNvSpPr/>
      </xdr:nvSpPr>
      <xdr:spPr>
        <a:xfrm>
          <a:off x="10904276" y="2257124"/>
          <a:ext cx="2512800" cy="967163"/>
        </a:xfrm>
        <a:prstGeom prst="roundRect">
          <a:avLst>
            <a:gd name="adj" fmla="val 28096"/>
          </a:avLst>
        </a:prstGeom>
        <a:solidFill>
          <a:srgbClr val="1B3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effectLst/>
            </a:rPr>
            <a:t> </a:t>
          </a:r>
        </a:p>
        <a:p>
          <a:pPr algn="l"/>
          <a:endParaRPr lang="en-GB" sz="1600">
            <a:effectLst/>
          </a:endParaRPr>
        </a:p>
        <a:p>
          <a:pPr algn="l"/>
          <a:endParaRPr lang="en-GB" sz="1600"/>
        </a:p>
      </xdr:txBody>
    </xdr:sp>
    <xdr:clientData/>
  </xdr:twoCellAnchor>
  <xdr:twoCellAnchor>
    <xdr:from>
      <xdr:col>6</xdr:col>
      <xdr:colOff>143644</xdr:colOff>
      <xdr:row>12</xdr:row>
      <xdr:rowOff>92075</xdr:rowOff>
    </xdr:from>
    <xdr:to>
      <xdr:col>8</xdr:col>
      <xdr:colOff>476471</xdr:colOff>
      <xdr:row>13</xdr:row>
      <xdr:rowOff>144627</xdr:rowOff>
    </xdr:to>
    <xdr:sp macro="" textlink="">
      <xdr:nvSpPr>
        <xdr:cNvPr id="30" name="TextBox 29">
          <a:extLst>
            <a:ext uri="{FF2B5EF4-FFF2-40B4-BE49-F238E27FC236}">
              <a16:creationId xmlns:a16="http://schemas.microsoft.com/office/drawing/2014/main" id="{4ED58197-4849-4EE8-BCC3-CEEA46BCBE94}"/>
            </a:ext>
          </a:extLst>
        </xdr:cNvPr>
        <xdr:cNvSpPr txBox="1"/>
      </xdr:nvSpPr>
      <xdr:spPr>
        <a:xfrm>
          <a:off x="3366816" y="2106558"/>
          <a:ext cx="1559034"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Lato Black" panose="020F0A02020204030203" pitchFamily="34" charset="0"/>
            </a:rPr>
            <a:t>Total</a:t>
          </a:r>
          <a:r>
            <a:rPr lang="en-GB" sz="1200" b="1" baseline="0">
              <a:solidFill>
                <a:schemeClr val="bg1"/>
              </a:solidFill>
              <a:latin typeface="Lato Black" panose="020F0A02020204030203" pitchFamily="34" charset="0"/>
            </a:rPr>
            <a:t> Disbursment</a:t>
          </a:r>
          <a:endParaRPr lang="en-GB" sz="1200" b="1">
            <a:solidFill>
              <a:schemeClr val="bg1"/>
            </a:solidFill>
            <a:latin typeface="Lato Black" panose="020F0A02020204030203" pitchFamily="34" charset="0"/>
          </a:endParaRPr>
        </a:p>
      </xdr:txBody>
    </xdr:sp>
    <xdr:clientData/>
  </xdr:twoCellAnchor>
  <xdr:twoCellAnchor>
    <xdr:from>
      <xdr:col>10</xdr:col>
      <xdr:colOff>328623</xdr:colOff>
      <xdr:row>12</xdr:row>
      <xdr:rowOff>92075</xdr:rowOff>
    </xdr:from>
    <xdr:to>
      <xdr:col>13</xdr:col>
      <xdr:colOff>48346</xdr:colOff>
      <xdr:row>13</xdr:row>
      <xdr:rowOff>144627</xdr:rowOff>
    </xdr:to>
    <xdr:sp macro="" textlink="">
      <xdr:nvSpPr>
        <xdr:cNvPr id="31" name="TextBox 30">
          <a:extLst>
            <a:ext uri="{FF2B5EF4-FFF2-40B4-BE49-F238E27FC236}">
              <a16:creationId xmlns:a16="http://schemas.microsoft.com/office/drawing/2014/main" id="{81587522-F3DB-4145-8130-B43A3157DF7A}"/>
            </a:ext>
          </a:extLst>
        </xdr:cNvPr>
        <xdr:cNvSpPr txBox="1"/>
      </xdr:nvSpPr>
      <xdr:spPr>
        <a:xfrm>
          <a:off x="6004209" y="2106558"/>
          <a:ext cx="1559034"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Lato Black" panose="020F0A02020204030203" pitchFamily="34" charset="0"/>
            </a:rPr>
            <a:t>Default</a:t>
          </a:r>
          <a:r>
            <a:rPr lang="en-GB" sz="1200" b="1" baseline="0">
              <a:solidFill>
                <a:schemeClr val="bg1"/>
              </a:solidFill>
              <a:latin typeface="Lato Black" panose="020F0A02020204030203" pitchFamily="34" charset="0"/>
            </a:rPr>
            <a:t> Int Rate</a:t>
          </a:r>
          <a:endParaRPr lang="en-GB" sz="1200" b="1">
            <a:solidFill>
              <a:schemeClr val="bg1"/>
            </a:solidFill>
            <a:latin typeface="Lato Black" panose="020F0A02020204030203" pitchFamily="34" charset="0"/>
          </a:endParaRPr>
        </a:p>
      </xdr:txBody>
    </xdr:sp>
    <xdr:clientData/>
  </xdr:twoCellAnchor>
  <xdr:twoCellAnchor>
    <xdr:from>
      <xdr:col>14</xdr:col>
      <xdr:colOff>589279</xdr:colOff>
      <xdr:row>12</xdr:row>
      <xdr:rowOff>92075</xdr:rowOff>
    </xdr:from>
    <xdr:to>
      <xdr:col>17</xdr:col>
      <xdr:colOff>309003</xdr:colOff>
      <xdr:row>13</xdr:row>
      <xdr:rowOff>144627</xdr:rowOff>
    </xdr:to>
    <xdr:sp macro="" textlink="">
      <xdr:nvSpPr>
        <xdr:cNvPr id="32" name="TextBox 31">
          <a:extLst>
            <a:ext uri="{FF2B5EF4-FFF2-40B4-BE49-F238E27FC236}">
              <a16:creationId xmlns:a16="http://schemas.microsoft.com/office/drawing/2014/main" id="{C670C98A-8ECD-44C3-B713-A3A56A781125}"/>
            </a:ext>
          </a:extLst>
        </xdr:cNvPr>
        <xdr:cNvSpPr txBox="1"/>
      </xdr:nvSpPr>
      <xdr:spPr>
        <a:xfrm>
          <a:off x="8717279" y="2106558"/>
          <a:ext cx="1559034"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bg1"/>
              </a:solidFill>
              <a:latin typeface="Lato Black" panose="020F0A02020204030203" pitchFamily="34" charset="0"/>
            </a:rPr>
            <a:t>AVG CREDIT SCORE</a:t>
          </a:r>
        </a:p>
      </xdr:txBody>
    </xdr:sp>
    <xdr:clientData/>
  </xdr:twoCellAnchor>
  <xdr:twoCellAnchor>
    <xdr:from>
      <xdr:col>19</xdr:col>
      <xdr:colOff>148898</xdr:colOff>
      <xdr:row>12</xdr:row>
      <xdr:rowOff>52661</xdr:rowOff>
    </xdr:from>
    <xdr:to>
      <xdr:col>22</xdr:col>
      <xdr:colOff>17517</xdr:colOff>
      <xdr:row>14</xdr:row>
      <xdr:rowOff>110</xdr:rowOff>
    </xdr:to>
    <xdr:sp macro="" textlink="">
      <xdr:nvSpPr>
        <xdr:cNvPr id="33" name="TextBox 32">
          <a:extLst>
            <a:ext uri="{FF2B5EF4-FFF2-40B4-BE49-F238E27FC236}">
              <a16:creationId xmlns:a16="http://schemas.microsoft.com/office/drawing/2014/main" id="{B94158A5-0BB9-43A7-A8C3-8A1B0BF673DC}"/>
            </a:ext>
          </a:extLst>
        </xdr:cNvPr>
        <xdr:cNvSpPr txBox="1"/>
      </xdr:nvSpPr>
      <xdr:spPr>
        <a:xfrm>
          <a:off x="11342415" y="2067144"/>
          <a:ext cx="1707930" cy="315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Lato Black" panose="020F0A02020204030203" pitchFamily="34" charset="0"/>
            </a:rPr>
            <a:t>AVG</a:t>
          </a:r>
          <a:r>
            <a:rPr lang="en-GB" sz="1200" b="1" baseline="0">
              <a:solidFill>
                <a:schemeClr val="bg1"/>
              </a:solidFill>
              <a:latin typeface="Lato Black" panose="020F0A02020204030203" pitchFamily="34" charset="0"/>
            </a:rPr>
            <a:t> EMI</a:t>
          </a:r>
          <a:endParaRPr lang="en-GB" sz="1200" b="1">
            <a:solidFill>
              <a:schemeClr val="bg1"/>
            </a:solidFill>
            <a:latin typeface="Lato Black" panose="020F0A02020204030203" pitchFamily="34" charset="0"/>
          </a:endParaRPr>
        </a:p>
      </xdr:txBody>
    </xdr:sp>
    <xdr:clientData/>
  </xdr:twoCellAnchor>
  <xdr:twoCellAnchor>
    <xdr:from>
      <xdr:col>23</xdr:col>
      <xdr:colOff>550041</xdr:colOff>
      <xdr:row>12</xdr:row>
      <xdr:rowOff>92075</xdr:rowOff>
    </xdr:from>
    <xdr:to>
      <xdr:col>26</xdr:col>
      <xdr:colOff>269765</xdr:colOff>
      <xdr:row>13</xdr:row>
      <xdr:rowOff>144627</xdr:rowOff>
    </xdr:to>
    <xdr:sp macro="" textlink="">
      <xdr:nvSpPr>
        <xdr:cNvPr id="34" name="TextBox 33">
          <a:extLst>
            <a:ext uri="{FF2B5EF4-FFF2-40B4-BE49-F238E27FC236}">
              <a16:creationId xmlns:a16="http://schemas.microsoft.com/office/drawing/2014/main" id="{0D0EC585-075B-456D-B6B0-99434D2FE93A}"/>
            </a:ext>
          </a:extLst>
        </xdr:cNvPr>
        <xdr:cNvSpPr txBox="1"/>
      </xdr:nvSpPr>
      <xdr:spPr>
        <a:xfrm>
          <a:off x="14195972" y="2106558"/>
          <a:ext cx="1559034"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bg1"/>
              </a:solidFill>
              <a:latin typeface="Lato Black" panose="020F0A02020204030203" pitchFamily="34" charset="0"/>
            </a:rPr>
            <a:t>RECOVERY</a:t>
          </a:r>
          <a:r>
            <a:rPr lang="en-GB" sz="1200" b="1" baseline="0">
              <a:solidFill>
                <a:schemeClr val="bg1"/>
              </a:solidFill>
              <a:latin typeface="Lato Black" panose="020F0A02020204030203" pitchFamily="34" charset="0"/>
            </a:rPr>
            <a:t> RATE</a:t>
          </a:r>
          <a:endParaRPr lang="en-GB" sz="1200" b="1">
            <a:solidFill>
              <a:schemeClr val="bg1"/>
            </a:solidFill>
            <a:latin typeface="Lato Black" panose="020F0A02020204030203" pitchFamily="34" charset="0"/>
          </a:endParaRPr>
        </a:p>
      </xdr:txBody>
    </xdr:sp>
    <xdr:clientData/>
  </xdr:twoCellAnchor>
  <xdr:twoCellAnchor>
    <xdr:from>
      <xdr:col>6</xdr:col>
      <xdr:colOff>108588</xdr:colOff>
      <xdr:row>13</xdr:row>
      <xdr:rowOff>123935</xdr:rowOff>
    </xdr:from>
    <xdr:to>
      <xdr:col>8</xdr:col>
      <xdr:colOff>371365</xdr:colOff>
      <xdr:row>15</xdr:row>
      <xdr:rowOff>1314</xdr:rowOff>
    </xdr:to>
    <xdr:sp macro="" textlink="KPI!B23">
      <xdr:nvSpPr>
        <xdr:cNvPr id="35" name="TextBox 34">
          <a:extLst>
            <a:ext uri="{FF2B5EF4-FFF2-40B4-BE49-F238E27FC236}">
              <a16:creationId xmlns:a16="http://schemas.microsoft.com/office/drawing/2014/main" id="{6799F33D-F66C-4DAD-8C60-7D8FCC2B9DF4}"/>
            </a:ext>
          </a:extLst>
        </xdr:cNvPr>
        <xdr:cNvSpPr txBox="1"/>
      </xdr:nvSpPr>
      <xdr:spPr>
        <a:xfrm>
          <a:off x="3331760" y="2322349"/>
          <a:ext cx="1488984"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66F59-E670-4D60-AE57-07C65AA57BC0}" type="TxLink">
            <a:rPr lang="en-US" sz="2000" b="1" i="0" u="none" strike="noStrike">
              <a:solidFill>
                <a:schemeClr val="bg1"/>
              </a:solidFill>
              <a:latin typeface="Segoe UI Semibold" panose="020B0702040204020203" pitchFamily="34" charset="0"/>
              <a:ea typeface="Calibri"/>
              <a:cs typeface="Segoe UI Semibold" panose="020B0702040204020203" pitchFamily="34" charset="0"/>
            </a:rPr>
            <a:t>₹121.2M</a:t>
          </a:fld>
          <a:endParaRPr lang="en-GB" sz="40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21021</xdr:colOff>
      <xdr:row>14</xdr:row>
      <xdr:rowOff>167837</xdr:rowOff>
    </xdr:from>
    <xdr:to>
      <xdr:col>6</xdr:col>
      <xdr:colOff>599090</xdr:colOff>
      <xdr:row>15</xdr:row>
      <xdr:rowOff>176596</xdr:rowOff>
    </xdr:to>
    <xdr:sp macro="" textlink="">
      <xdr:nvSpPr>
        <xdr:cNvPr id="36" name="TextBox 35">
          <a:extLst>
            <a:ext uri="{FF2B5EF4-FFF2-40B4-BE49-F238E27FC236}">
              <a16:creationId xmlns:a16="http://schemas.microsoft.com/office/drawing/2014/main" id="{AA7B412D-0C88-4FC5-B0E6-11B65AC20BDC}"/>
            </a:ext>
          </a:extLst>
        </xdr:cNvPr>
        <xdr:cNvSpPr txBox="1"/>
      </xdr:nvSpPr>
      <xdr:spPr>
        <a:xfrm>
          <a:off x="3244193"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MTD</a:t>
          </a:r>
        </a:p>
      </xdr:txBody>
    </xdr:sp>
    <xdr:clientData/>
  </xdr:twoCellAnchor>
  <xdr:twoCellAnchor>
    <xdr:from>
      <xdr:col>7</xdr:col>
      <xdr:colOff>523414</xdr:colOff>
      <xdr:row>14</xdr:row>
      <xdr:rowOff>167837</xdr:rowOff>
    </xdr:from>
    <xdr:to>
      <xdr:col>8</xdr:col>
      <xdr:colOff>488380</xdr:colOff>
      <xdr:row>15</xdr:row>
      <xdr:rowOff>176596</xdr:rowOff>
    </xdr:to>
    <xdr:sp macro="" textlink="">
      <xdr:nvSpPr>
        <xdr:cNvPr id="37" name="TextBox 36">
          <a:extLst>
            <a:ext uri="{FF2B5EF4-FFF2-40B4-BE49-F238E27FC236}">
              <a16:creationId xmlns:a16="http://schemas.microsoft.com/office/drawing/2014/main" id="{4D812B16-3138-4061-9620-7DAED5C5E46F}"/>
            </a:ext>
          </a:extLst>
        </xdr:cNvPr>
        <xdr:cNvSpPr txBox="1"/>
      </xdr:nvSpPr>
      <xdr:spPr>
        <a:xfrm>
          <a:off x="4359690"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MTM</a:t>
          </a:r>
        </a:p>
      </xdr:txBody>
    </xdr:sp>
    <xdr:clientData/>
  </xdr:twoCellAnchor>
  <xdr:twoCellAnchor>
    <xdr:from>
      <xdr:col>6</xdr:col>
      <xdr:colOff>0</xdr:colOff>
      <xdr:row>16</xdr:row>
      <xdr:rowOff>2188</xdr:rowOff>
    </xdr:from>
    <xdr:to>
      <xdr:col>6</xdr:col>
      <xdr:colOff>578069</xdr:colOff>
      <xdr:row>17</xdr:row>
      <xdr:rowOff>10947</xdr:rowOff>
    </xdr:to>
    <xdr:sp macro="" textlink="KPI!C30">
      <xdr:nvSpPr>
        <xdr:cNvPr id="38" name="TextBox 37">
          <a:extLst>
            <a:ext uri="{FF2B5EF4-FFF2-40B4-BE49-F238E27FC236}">
              <a16:creationId xmlns:a16="http://schemas.microsoft.com/office/drawing/2014/main" id="{E46C0759-36C5-4650-9D5D-667C50A8840D}"/>
            </a:ext>
          </a:extLst>
        </xdr:cNvPr>
        <xdr:cNvSpPr txBox="1"/>
      </xdr:nvSpPr>
      <xdr:spPr>
        <a:xfrm>
          <a:off x="3223172" y="2752395"/>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35F256-0295-4B88-8733-7BD4E1AD11F1}"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₹7.8M</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444586</xdr:colOff>
      <xdr:row>15</xdr:row>
      <xdr:rowOff>140794</xdr:rowOff>
    </xdr:from>
    <xdr:to>
      <xdr:col>8</xdr:col>
      <xdr:colOff>569310</xdr:colOff>
      <xdr:row>17</xdr:row>
      <xdr:rowOff>56273</xdr:rowOff>
    </xdr:to>
    <xdr:sp macro="" textlink="KPI!C40">
      <xdr:nvSpPr>
        <xdr:cNvPr id="39" name="TextBox 38">
          <a:extLst>
            <a:ext uri="{FF2B5EF4-FFF2-40B4-BE49-F238E27FC236}">
              <a16:creationId xmlns:a16="http://schemas.microsoft.com/office/drawing/2014/main" id="{574A6FD6-2639-4B19-8244-7AD55A16A259}"/>
            </a:ext>
          </a:extLst>
        </xdr:cNvPr>
        <xdr:cNvSpPr txBox="1"/>
      </xdr:nvSpPr>
      <xdr:spPr>
        <a:xfrm>
          <a:off x="4280862" y="2707070"/>
          <a:ext cx="737827" cy="28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EF586A-DBFF-4BCF-A8C9-17530C78E86B}"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-37.5%</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389933</xdr:colOff>
      <xdr:row>13</xdr:row>
      <xdr:rowOff>123935</xdr:rowOff>
    </xdr:from>
    <xdr:to>
      <xdr:col>13</xdr:col>
      <xdr:colOff>39606</xdr:colOff>
      <xdr:row>15</xdr:row>
      <xdr:rowOff>1314</xdr:rowOff>
    </xdr:to>
    <xdr:sp macro="" textlink="KPI!F23">
      <xdr:nvSpPr>
        <xdr:cNvPr id="40" name="TextBox 39">
          <a:extLst>
            <a:ext uri="{FF2B5EF4-FFF2-40B4-BE49-F238E27FC236}">
              <a16:creationId xmlns:a16="http://schemas.microsoft.com/office/drawing/2014/main" id="{61CA187B-0FE3-444D-B58B-FE9BBD879EF8}"/>
            </a:ext>
          </a:extLst>
        </xdr:cNvPr>
        <xdr:cNvSpPr txBox="1"/>
      </xdr:nvSpPr>
      <xdr:spPr>
        <a:xfrm>
          <a:off x="6065519" y="2322349"/>
          <a:ext cx="1488984"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2814E0-DFFF-42EE-9175-74391B35371A}" type="TxLink">
            <a:rPr lang="en-US" sz="2000" b="0" i="0" u="none" strike="noStrike">
              <a:solidFill>
                <a:schemeClr val="bg1"/>
              </a:solidFill>
              <a:latin typeface="Segoe UI Semibold" panose="020B0702040204020203" pitchFamily="34" charset="0"/>
              <a:ea typeface="Calibri"/>
              <a:cs typeface="Segoe UI Semibold" panose="020B0702040204020203" pitchFamily="34" charset="0"/>
            </a:rPr>
            <a:t>24.80%</a:t>
          </a:fld>
          <a:endParaRPr lang="en-GB" sz="6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2452</xdr:colOff>
      <xdr:row>13</xdr:row>
      <xdr:rowOff>123935</xdr:rowOff>
    </xdr:from>
    <xdr:to>
      <xdr:col>17</xdr:col>
      <xdr:colOff>265229</xdr:colOff>
      <xdr:row>15</xdr:row>
      <xdr:rowOff>1314</xdr:rowOff>
    </xdr:to>
    <xdr:sp macro="" textlink="KPI!D23">
      <xdr:nvSpPr>
        <xdr:cNvPr id="41" name="TextBox 40">
          <a:extLst>
            <a:ext uri="{FF2B5EF4-FFF2-40B4-BE49-F238E27FC236}">
              <a16:creationId xmlns:a16="http://schemas.microsoft.com/office/drawing/2014/main" id="{504327A4-6B5A-4F83-BB76-333F4AE0C68D}"/>
            </a:ext>
          </a:extLst>
        </xdr:cNvPr>
        <xdr:cNvSpPr txBox="1"/>
      </xdr:nvSpPr>
      <xdr:spPr>
        <a:xfrm>
          <a:off x="8743555" y="2322349"/>
          <a:ext cx="1488984"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D0116E-25B9-4DE1-A2A8-93740A73BAC6}" type="TxLink">
            <a:rPr lang="en-US" sz="2000" b="1" i="0" u="none" strike="noStrike">
              <a:solidFill>
                <a:schemeClr val="bg1"/>
              </a:solidFill>
              <a:latin typeface="Segoe UI Semibold" panose="020B0702040204020203" pitchFamily="34" charset="0"/>
              <a:ea typeface="Calibri"/>
              <a:cs typeface="Segoe UI Semibold" panose="020B0702040204020203" pitchFamily="34" charset="0"/>
            </a:rPr>
            <a:t>573.4</a:t>
          </a:fld>
          <a:endParaRPr lang="en-GB" sz="6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298142</xdr:colOff>
      <xdr:row>13</xdr:row>
      <xdr:rowOff>123935</xdr:rowOff>
    </xdr:from>
    <xdr:to>
      <xdr:col>21</xdr:col>
      <xdr:colOff>560919</xdr:colOff>
      <xdr:row>15</xdr:row>
      <xdr:rowOff>1314</xdr:rowOff>
    </xdr:to>
    <xdr:sp macro="" textlink="KPI!E23">
      <xdr:nvSpPr>
        <xdr:cNvPr id="42" name="TextBox 41">
          <a:extLst>
            <a:ext uri="{FF2B5EF4-FFF2-40B4-BE49-F238E27FC236}">
              <a16:creationId xmlns:a16="http://schemas.microsoft.com/office/drawing/2014/main" id="{4C047FEB-FF56-49ED-8C78-AEF5D76BB3C1}"/>
            </a:ext>
          </a:extLst>
        </xdr:cNvPr>
        <xdr:cNvSpPr txBox="1"/>
      </xdr:nvSpPr>
      <xdr:spPr>
        <a:xfrm>
          <a:off x="11491659" y="2322349"/>
          <a:ext cx="1488984"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70F496-11BE-41EA-A5BD-0174821DB396}" type="TxLink">
            <a:rPr lang="en-US" sz="2000" b="1" i="0" u="none" strike="noStrike">
              <a:solidFill>
                <a:schemeClr val="bg1"/>
              </a:solidFill>
              <a:latin typeface="Segoe UI Semibold" panose="020B0702040204020203" pitchFamily="34" charset="0"/>
              <a:ea typeface="Calibri"/>
              <a:cs typeface="Segoe UI Semibold" panose="020B0702040204020203" pitchFamily="34" charset="0"/>
            </a:rPr>
            <a:t>32795.3</a:t>
          </a:fld>
          <a:endParaRPr lang="en-GB" sz="6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558800</xdr:colOff>
      <xdr:row>13</xdr:row>
      <xdr:rowOff>123935</xdr:rowOff>
    </xdr:from>
    <xdr:to>
      <xdr:col>26</xdr:col>
      <xdr:colOff>208474</xdr:colOff>
      <xdr:row>15</xdr:row>
      <xdr:rowOff>1314</xdr:rowOff>
    </xdr:to>
    <xdr:sp macro="" textlink="KPI!C23">
      <xdr:nvSpPr>
        <xdr:cNvPr id="43" name="TextBox 42">
          <a:extLst>
            <a:ext uri="{FF2B5EF4-FFF2-40B4-BE49-F238E27FC236}">
              <a16:creationId xmlns:a16="http://schemas.microsoft.com/office/drawing/2014/main" id="{D2E1FA4B-D9ED-4543-A5DE-1E81525DF1CD}"/>
            </a:ext>
          </a:extLst>
        </xdr:cNvPr>
        <xdr:cNvSpPr txBox="1"/>
      </xdr:nvSpPr>
      <xdr:spPr>
        <a:xfrm>
          <a:off x="14204731" y="2322349"/>
          <a:ext cx="1488984" cy="245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D465AB-F9EF-4E0F-BC6F-62D8FC9512D2}" type="TxLink">
            <a:rPr lang="en-US" sz="2000" b="1" i="0" u="none" strike="noStrike">
              <a:solidFill>
                <a:schemeClr val="bg1"/>
              </a:solidFill>
              <a:latin typeface="Segoe UI Semibold" panose="020B0702040204020203" pitchFamily="34" charset="0"/>
              <a:ea typeface="Calibri"/>
              <a:cs typeface="Segoe UI Semibold" panose="020B0702040204020203" pitchFamily="34" charset="0"/>
            </a:rPr>
            <a:t>₹14.4M</a:t>
          </a:fld>
          <a:endParaRPr lang="en-GB" sz="6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197244</xdr:colOff>
      <xdr:row>14</xdr:row>
      <xdr:rowOff>167837</xdr:rowOff>
    </xdr:from>
    <xdr:to>
      <xdr:col>11</xdr:col>
      <xdr:colOff>162209</xdr:colOff>
      <xdr:row>15</xdr:row>
      <xdr:rowOff>176596</xdr:rowOff>
    </xdr:to>
    <xdr:sp macro="" textlink="">
      <xdr:nvSpPr>
        <xdr:cNvPr id="45" name="TextBox 44">
          <a:extLst>
            <a:ext uri="{FF2B5EF4-FFF2-40B4-BE49-F238E27FC236}">
              <a16:creationId xmlns:a16="http://schemas.microsoft.com/office/drawing/2014/main" id="{977A7FC5-E7D0-4836-B5F5-40385523014D}"/>
            </a:ext>
          </a:extLst>
        </xdr:cNvPr>
        <xdr:cNvSpPr txBox="1"/>
      </xdr:nvSpPr>
      <xdr:spPr>
        <a:xfrm>
          <a:off x="5872830"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MTD</a:t>
          </a:r>
        </a:p>
      </xdr:txBody>
    </xdr:sp>
    <xdr:clientData/>
  </xdr:twoCellAnchor>
  <xdr:twoCellAnchor>
    <xdr:from>
      <xdr:col>12</xdr:col>
      <xdr:colOff>258554</xdr:colOff>
      <xdr:row>14</xdr:row>
      <xdr:rowOff>167837</xdr:rowOff>
    </xdr:from>
    <xdr:to>
      <xdr:col>13</xdr:col>
      <xdr:colOff>223519</xdr:colOff>
      <xdr:row>15</xdr:row>
      <xdr:rowOff>176596</xdr:rowOff>
    </xdr:to>
    <xdr:sp macro="" textlink="">
      <xdr:nvSpPr>
        <xdr:cNvPr id="46" name="TextBox 45">
          <a:extLst>
            <a:ext uri="{FF2B5EF4-FFF2-40B4-BE49-F238E27FC236}">
              <a16:creationId xmlns:a16="http://schemas.microsoft.com/office/drawing/2014/main" id="{5A182FA1-9602-4EB6-A136-D161E20151C0}"/>
            </a:ext>
          </a:extLst>
        </xdr:cNvPr>
        <xdr:cNvSpPr txBox="1"/>
      </xdr:nvSpPr>
      <xdr:spPr>
        <a:xfrm>
          <a:off x="7160347"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MTM</a:t>
          </a:r>
        </a:p>
      </xdr:txBody>
    </xdr:sp>
    <xdr:clientData/>
  </xdr:twoCellAnchor>
  <xdr:twoCellAnchor>
    <xdr:from>
      <xdr:col>10</xdr:col>
      <xdr:colOff>197242</xdr:colOff>
      <xdr:row>15</xdr:row>
      <xdr:rowOff>180973</xdr:rowOff>
    </xdr:from>
    <xdr:to>
      <xdr:col>11</xdr:col>
      <xdr:colOff>253999</xdr:colOff>
      <xdr:row>17</xdr:row>
      <xdr:rowOff>16093</xdr:rowOff>
    </xdr:to>
    <xdr:sp macro="" textlink="KPI!G30">
      <xdr:nvSpPr>
        <xdr:cNvPr id="47" name="TextBox 46">
          <a:extLst>
            <a:ext uri="{FF2B5EF4-FFF2-40B4-BE49-F238E27FC236}">
              <a16:creationId xmlns:a16="http://schemas.microsoft.com/office/drawing/2014/main" id="{D7600FB7-1672-4DE6-A05A-60B99395C061}"/>
            </a:ext>
          </a:extLst>
        </xdr:cNvPr>
        <xdr:cNvSpPr txBox="1"/>
      </xdr:nvSpPr>
      <xdr:spPr>
        <a:xfrm>
          <a:off x="5872828" y="2747249"/>
          <a:ext cx="669861" cy="202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3FEAD5-1EDA-456B-B9C7-BFE5E227DF3C}"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24.80%</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179725</xdr:colOff>
      <xdr:row>15</xdr:row>
      <xdr:rowOff>140794</xdr:rowOff>
    </xdr:from>
    <xdr:to>
      <xdr:col>13</xdr:col>
      <xdr:colOff>304448</xdr:colOff>
      <xdr:row>17</xdr:row>
      <xdr:rowOff>56273</xdr:rowOff>
    </xdr:to>
    <xdr:sp macro="" textlink="KPI!G40">
      <xdr:nvSpPr>
        <xdr:cNvPr id="48" name="TextBox 47">
          <a:extLst>
            <a:ext uri="{FF2B5EF4-FFF2-40B4-BE49-F238E27FC236}">
              <a16:creationId xmlns:a16="http://schemas.microsoft.com/office/drawing/2014/main" id="{CF84920F-4641-4009-B342-B20D0441EEAC}"/>
            </a:ext>
          </a:extLst>
        </xdr:cNvPr>
        <xdr:cNvSpPr txBox="1"/>
      </xdr:nvSpPr>
      <xdr:spPr>
        <a:xfrm>
          <a:off x="7081518" y="2707070"/>
          <a:ext cx="737827" cy="28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D05B7B-D547-4A0C-886B-D19C8E024644}"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24.8%</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449141</xdr:colOff>
      <xdr:row>14</xdr:row>
      <xdr:rowOff>167837</xdr:rowOff>
    </xdr:from>
    <xdr:to>
      <xdr:col>15</xdr:col>
      <xdr:colOff>414107</xdr:colOff>
      <xdr:row>15</xdr:row>
      <xdr:rowOff>176596</xdr:rowOff>
    </xdr:to>
    <xdr:sp macro="" textlink="">
      <xdr:nvSpPr>
        <xdr:cNvPr id="49" name="TextBox 48">
          <a:extLst>
            <a:ext uri="{FF2B5EF4-FFF2-40B4-BE49-F238E27FC236}">
              <a16:creationId xmlns:a16="http://schemas.microsoft.com/office/drawing/2014/main" id="{331F8190-E1E0-4098-B684-21470144F38A}"/>
            </a:ext>
          </a:extLst>
        </xdr:cNvPr>
        <xdr:cNvSpPr txBox="1"/>
      </xdr:nvSpPr>
      <xdr:spPr>
        <a:xfrm>
          <a:off x="8577141"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MTD</a:t>
          </a:r>
        </a:p>
      </xdr:txBody>
    </xdr:sp>
    <xdr:clientData/>
  </xdr:twoCellAnchor>
  <xdr:twoCellAnchor>
    <xdr:from>
      <xdr:col>16</xdr:col>
      <xdr:colOff>510451</xdr:colOff>
      <xdr:row>14</xdr:row>
      <xdr:rowOff>167837</xdr:rowOff>
    </xdr:from>
    <xdr:to>
      <xdr:col>17</xdr:col>
      <xdr:colOff>475417</xdr:colOff>
      <xdr:row>15</xdr:row>
      <xdr:rowOff>176596</xdr:rowOff>
    </xdr:to>
    <xdr:sp macro="" textlink="">
      <xdr:nvSpPr>
        <xdr:cNvPr id="50" name="TextBox 49">
          <a:extLst>
            <a:ext uri="{FF2B5EF4-FFF2-40B4-BE49-F238E27FC236}">
              <a16:creationId xmlns:a16="http://schemas.microsoft.com/office/drawing/2014/main" id="{973C927A-7C35-49A9-AD27-D88972D5659B}"/>
            </a:ext>
          </a:extLst>
        </xdr:cNvPr>
        <xdr:cNvSpPr txBox="1"/>
      </xdr:nvSpPr>
      <xdr:spPr>
        <a:xfrm>
          <a:off x="9864658"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MTM</a:t>
          </a:r>
        </a:p>
      </xdr:txBody>
    </xdr:sp>
    <xdr:clientData/>
  </xdr:twoCellAnchor>
  <xdr:twoCellAnchor>
    <xdr:from>
      <xdr:col>14</xdr:col>
      <xdr:colOff>405349</xdr:colOff>
      <xdr:row>15</xdr:row>
      <xdr:rowOff>180973</xdr:rowOff>
    </xdr:from>
    <xdr:to>
      <xdr:col>15</xdr:col>
      <xdr:colOff>462107</xdr:colOff>
      <xdr:row>17</xdr:row>
      <xdr:rowOff>16093</xdr:rowOff>
    </xdr:to>
    <xdr:sp macro="" textlink="KPI!E30">
      <xdr:nvSpPr>
        <xdr:cNvPr id="51" name="TextBox 50">
          <a:extLst>
            <a:ext uri="{FF2B5EF4-FFF2-40B4-BE49-F238E27FC236}">
              <a16:creationId xmlns:a16="http://schemas.microsoft.com/office/drawing/2014/main" id="{84820C0F-5918-49F6-857A-84FD8B872301}"/>
            </a:ext>
          </a:extLst>
        </xdr:cNvPr>
        <xdr:cNvSpPr txBox="1"/>
      </xdr:nvSpPr>
      <xdr:spPr>
        <a:xfrm>
          <a:off x="8533349" y="2747249"/>
          <a:ext cx="669861" cy="202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AAD307-F13C-493E-9696-72DD146083D2}"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514.67</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431624</xdr:colOff>
      <xdr:row>15</xdr:row>
      <xdr:rowOff>140794</xdr:rowOff>
    </xdr:from>
    <xdr:to>
      <xdr:col>17</xdr:col>
      <xdr:colOff>556348</xdr:colOff>
      <xdr:row>17</xdr:row>
      <xdr:rowOff>56273</xdr:rowOff>
    </xdr:to>
    <xdr:sp macro="" textlink="KPI!E40">
      <xdr:nvSpPr>
        <xdr:cNvPr id="52" name="TextBox 51">
          <a:extLst>
            <a:ext uri="{FF2B5EF4-FFF2-40B4-BE49-F238E27FC236}">
              <a16:creationId xmlns:a16="http://schemas.microsoft.com/office/drawing/2014/main" id="{4E244F54-F700-4C17-876D-3DB343237B98}"/>
            </a:ext>
          </a:extLst>
        </xdr:cNvPr>
        <xdr:cNvSpPr txBox="1"/>
      </xdr:nvSpPr>
      <xdr:spPr>
        <a:xfrm>
          <a:off x="9785831" y="2707070"/>
          <a:ext cx="737827" cy="28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A72A1C-9B1C-4CC9-8103-21192986D6FD}" type="TxLink">
            <a:rPr lang="en-US" sz="1100" b="0" i="0" u="none" strike="noStrike">
              <a:solidFill>
                <a:schemeClr val="bg1"/>
              </a:solidFill>
              <a:latin typeface="Segoe UI Semibold" panose="020B0702040204020203" pitchFamily="34" charset="0"/>
              <a:ea typeface="Calibri"/>
              <a:cs typeface="Segoe UI Semibold" panose="020B0702040204020203" pitchFamily="34" charset="0"/>
            </a:rPr>
            <a:t>-5.3%</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61312</xdr:colOff>
      <xdr:row>16</xdr:row>
      <xdr:rowOff>382</xdr:rowOff>
    </xdr:from>
    <xdr:to>
      <xdr:col>20</xdr:col>
      <xdr:colOff>214762</xdr:colOff>
      <xdr:row>17</xdr:row>
      <xdr:rowOff>12754</xdr:rowOff>
    </xdr:to>
    <xdr:sp macro="" textlink="KPI!F30">
      <xdr:nvSpPr>
        <xdr:cNvPr id="53" name="TextBox 52">
          <a:extLst>
            <a:ext uri="{FF2B5EF4-FFF2-40B4-BE49-F238E27FC236}">
              <a16:creationId xmlns:a16="http://schemas.microsoft.com/office/drawing/2014/main" id="{E0F05371-DCF1-43CC-B318-5977C1CFA94D}"/>
            </a:ext>
          </a:extLst>
        </xdr:cNvPr>
        <xdr:cNvSpPr txBox="1"/>
      </xdr:nvSpPr>
      <xdr:spPr>
        <a:xfrm>
          <a:off x="11254829" y="2750589"/>
          <a:ext cx="766554" cy="19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A9C91C-FEAF-4EFF-B8D4-DCC4043F7D40}"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38760.6</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140487</xdr:colOff>
      <xdr:row>15</xdr:row>
      <xdr:rowOff>140794</xdr:rowOff>
    </xdr:from>
    <xdr:to>
      <xdr:col>22</xdr:col>
      <xdr:colOff>265210</xdr:colOff>
      <xdr:row>17</xdr:row>
      <xdr:rowOff>56273</xdr:rowOff>
    </xdr:to>
    <xdr:sp macro="" textlink="KPI!F40">
      <xdr:nvSpPr>
        <xdr:cNvPr id="54" name="TextBox 53">
          <a:extLst>
            <a:ext uri="{FF2B5EF4-FFF2-40B4-BE49-F238E27FC236}">
              <a16:creationId xmlns:a16="http://schemas.microsoft.com/office/drawing/2014/main" id="{811444D0-40E8-4760-A38A-3CA31B12E83A}"/>
            </a:ext>
          </a:extLst>
        </xdr:cNvPr>
        <xdr:cNvSpPr txBox="1"/>
      </xdr:nvSpPr>
      <xdr:spPr>
        <a:xfrm>
          <a:off x="12560211" y="2707070"/>
          <a:ext cx="737827" cy="28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DA4693-7A38-47AA-B088-295988F528CE}"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54.7%</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158004</xdr:colOff>
      <xdr:row>14</xdr:row>
      <xdr:rowOff>167837</xdr:rowOff>
    </xdr:from>
    <xdr:to>
      <xdr:col>20</xdr:col>
      <xdr:colOff>122969</xdr:colOff>
      <xdr:row>15</xdr:row>
      <xdr:rowOff>176596</xdr:rowOff>
    </xdr:to>
    <xdr:sp macro="" textlink="">
      <xdr:nvSpPr>
        <xdr:cNvPr id="55" name="TextBox 54">
          <a:extLst>
            <a:ext uri="{FF2B5EF4-FFF2-40B4-BE49-F238E27FC236}">
              <a16:creationId xmlns:a16="http://schemas.microsoft.com/office/drawing/2014/main" id="{C8EC466F-AFE4-4840-85AC-419DD4DAAEC3}"/>
            </a:ext>
          </a:extLst>
        </xdr:cNvPr>
        <xdr:cNvSpPr txBox="1"/>
      </xdr:nvSpPr>
      <xdr:spPr>
        <a:xfrm>
          <a:off x="11351521"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MTD</a:t>
          </a:r>
        </a:p>
      </xdr:txBody>
    </xdr:sp>
    <xdr:clientData/>
  </xdr:twoCellAnchor>
  <xdr:twoCellAnchor>
    <xdr:from>
      <xdr:col>21</xdr:col>
      <xdr:colOff>219314</xdr:colOff>
      <xdr:row>14</xdr:row>
      <xdr:rowOff>167837</xdr:rowOff>
    </xdr:from>
    <xdr:to>
      <xdr:col>22</xdr:col>
      <xdr:colOff>184279</xdr:colOff>
      <xdr:row>15</xdr:row>
      <xdr:rowOff>176596</xdr:rowOff>
    </xdr:to>
    <xdr:sp macro="" textlink="">
      <xdr:nvSpPr>
        <xdr:cNvPr id="56" name="TextBox 55">
          <a:extLst>
            <a:ext uri="{FF2B5EF4-FFF2-40B4-BE49-F238E27FC236}">
              <a16:creationId xmlns:a16="http://schemas.microsoft.com/office/drawing/2014/main" id="{3A312452-0577-4654-8970-398E4F5AB150}"/>
            </a:ext>
          </a:extLst>
        </xdr:cNvPr>
        <xdr:cNvSpPr txBox="1"/>
      </xdr:nvSpPr>
      <xdr:spPr>
        <a:xfrm>
          <a:off x="12639038"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MTM</a:t>
          </a:r>
        </a:p>
      </xdr:txBody>
    </xdr:sp>
    <xdr:clientData/>
  </xdr:twoCellAnchor>
  <xdr:twoCellAnchor>
    <xdr:from>
      <xdr:col>23</xdr:col>
      <xdr:colOff>287282</xdr:colOff>
      <xdr:row>14</xdr:row>
      <xdr:rowOff>167837</xdr:rowOff>
    </xdr:from>
    <xdr:to>
      <xdr:col>24</xdr:col>
      <xdr:colOff>252248</xdr:colOff>
      <xdr:row>15</xdr:row>
      <xdr:rowOff>176596</xdr:rowOff>
    </xdr:to>
    <xdr:sp macro="" textlink="">
      <xdr:nvSpPr>
        <xdr:cNvPr id="57" name="TextBox 56">
          <a:extLst>
            <a:ext uri="{FF2B5EF4-FFF2-40B4-BE49-F238E27FC236}">
              <a16:creationId xmlns:a16="http://schemas.microsoft.com/office/drawing/2014/main" id="{8AAB2CCB-E67A-4FE1-9673-7E4726561ADF}"/>
            </a:ext>
          </a:extLst>
        </xdr:cNvPr>
        <xdr:cNvSpPr txBox="1"/>
      </xdr:nvSpPr>
      <xdr:spPr>
        <a:xfrm>
          <a:off x="13933213"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MTD</a:t>
          </a:r>
        </a:p>
      </xdr:txBody>
    </xdr:sp>
    <xdr:clientData/>
  </xdr:twoCellAnchor>
  <xdr:twoCellAnchor>
    <xdr:from>
      <xdr:col>25</xdr:col>
      <xdr:colOff>348592</xdr:colOff>
      <xdr:row>14</xdr:row>
      <xdr:rowOff>167837</xdr:rowOff>
    </xdr:from>
    <xdr:to>
      <xdr:col>26</xdr:col>
      <xdr:colOff>313558</xdr:colOff>
      <xdr:row>15</xdr:row>
      <xdr:rowOff>176596</xdr:rowOff>
    </xdr:to>
    <xdr:sp macro="" textlink="">
      <xdr:nvSpPr>
        <xdr:cNvPr id="58" name="TextBox 57">
          <a:extLst>
            <a:ext uri="{FF2B5EF4-FFF2-40B4-BE49-F238E27FC236}">
              <a16:creationId xmlns:a16="http://schemas.microsoft.com/office/drawing/2014/main" id="{30012B9D-E9DB-4A38-8E92-54E3CE7A00BD}"/>
            </a:ext>
          </a:extLst>
        </xdr:cNvPr>
        <xdr:cNvSpPr txBox="1"/>
      </xdr:nvSpPr>
      <xdr:spPr>
        <a:xfrm>
          <a:off x="15220730" y="2550182"/>
          <a:ext cx="578069" cy="1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6"/>
              </a:solidFill>
              <a:latin typeface="Segoe UI Semibold" panose="020B0702040204020203" pitchFamily="34" charset="0"/>
              <a:cs typeface="Segoe UI Semibold" panose="020B0702040204020203" pitchFamily="34" charset="0"/>
            </a:rPr>
            <a:t>MTM</a:t>
          </a:r>
        </a:p>
      </xdr:txBody>
    </xdr:sp>
    <xdr:clientData/>
  </xdr:twoCellAnchor>
  <xdr:twoCellAnchor>
    <xdr:from>
      <xdr:col>23</xdr:col>
      <xdr:colOff>217214</xdr:colOff>
      <xdr:row>15</xdr:row>
      <xdr:rowOff>181740</xdr:rowOff>
    </xdr:from>
    <xdr:to>
      <xdr:col>24</xdr:col>
      <xdr:colOff>324070</xdr:colOff>
      <xdr:row>17</xdr:row>
      <xdr:rowOff>15327</xdr:rowOff>
    </xdr:to>
    <xdr:sp macro="" textlink="KPI!D30">
      <xdr:nvSpPr>
        <xdr:cNvPr id="59" name="TextBox 58">
          <a:extLst>
            <a:ext uri="{FF2B5EF4-FFF2-40B4-BE49-F238E27FC236}">
              <a16:creationId xmlns:a16="http://schemas.microsoft.com/office/drawing/2014/main" id="{033182C0-10D2-40A0-AD23-7B27664166F6}"/>
            </a:ext>
          </a:extLst>
        </xdr:cNvPr>
        <xdr:cNvSpPr txBox="1"/>
      </xdr:nvSpPr>
      <xdr:spPr>
        <a:xfrm>
          <a:off x="13863145" y="2748016"/>
          <a:ext cx="719959" cy="20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09B8C9-3FF2-4A44-B47D-981968C4F374}"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₹1.0M</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25</xdr:col>
      <xdr:colOff>313906</xdr:colOff>
      <xdr:row>15</xdr:row>
      <xdr:rowOff>140794</xdr:rowOff>
    </xdr:from>
    <xdr:to>
      <xdr:col>26</xdr:col>
      <xdr:colOff>438630</xdr:colOff>
      <xdr:row>17</xdr:row>
      <xdr:rowOff>56273</xdr:rowOff>
    </xdr:to>
    <xdr:sp macro="" textlink="KPI!D40">
      <xdr:nvSpPr>
        <xdr:cNvPr id="60" name="TextBox 59">
          <a:extLst>
            <a:ext uri="{FF2B5EF4-FFF2-40B4-BE49-F238E27FC236}">
              <a16:creationId xmlns:a16="http://schemas.microsoft.com/office/drawing/2014/main" id="{73683539-1163-4450-8BE8-93BE444447D1}"/>
            </a:ext>
          </a:extLst>
        </xdr:cNvPr>
        <xdr:cNvSpPr txBox="1"/>
      </xdr:nvSpPr>
      <xdr:spPr>
        <a:xfrm>
          <a:off x="15186044" y="2707070"/>
          <a:ext cx="737827" cy="28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B9CC2C-7CDF-4756-B317-ADFCD3E5EB3D}" type="TxLink">
            <a:rPr lang="en-US" sz="1100" b="1" i="0" u="none" strike="noStrike">
              <a:solidFill>
                <a:schemeClr val="bg1"/>
              </a:solidFill>
              <a:latin typeface="Segoe UI Semibold" panose="020B0702040204020203" pitchFamily="34" charset="0"/>
              <a:ea typeface="Calibri"/>
              <a:cs typeface="Segoe UI Semibold" panose="020B0702040204020203" pitchFamily="34" charset="0"/>
            </a:rPr>
            <a:t>-2.9%</a:t>
          </a:fld>
          <a:endParaRPr lang="en-GB" sz="12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25658</xdr:colOff>
      <xdr:row>18</xdr:row>
      <xdr:rowOff>32306</xdr:rowOff>
    </xdr:from>
    <xdr:to>
      <xdr:col>13</xdr:col>
      <xdr:colOff>351693</xdr:colOff>
      <xdr:row>32</xdr:row>
      <xdr:rowOff>156307</xdr:rowOff>
    </xdr:to>
    <xdr:graphicFrame macro="">
      <xdr:nvGraphicFramePr>
        <xdr:cNvPr id="61" name="Chart 60">
          <a:extLst>
            <a:ext uri="{FF2B5EF4-FFF2-40B4-BE49-F238E27FC236}">
              <a16:creationId xmlns:a16="http://schemas.microsoft.com/office/drawing/2014/main" id="{986B3E74-B925-4E6B-B04E-AD999543B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420077</xdr:colOff>
      <xdr:row>18</xdr:row>
      <xdr:rowOff>51968</xdr:rowOff>
    </xdr:from>
    <xdr:to>
      <xdr:col>21</xdr:col>
      <xdr:colOff>239766</xdr:colOff>
      <xdr:row>32</xdr:row>
      <xdr:rowOff>146538</xdr:rowOff>
    </xdr:to>
    <xdr:graphicFrame macro="">
      <xdr:nvGraphicFramePr>
        <xdr:cNvPr id="62" name="Chart 61">
          <a:extLst>
            <a:ext uri="{FF2B5EF4-FFF2-40B4-BE49-F238E27FC236}">
              <a16:creationId xmlns:a16="http://schemas.microsoft.com/office/drawing/2014/main" id="{A2DF961C-F4D2-4753-96AF-59ADCA47D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297697</xdr:colOff>
      <xdr:row>18</xdr:row>
      <xdr:rowOff>46033</xdr:rowOff>
    </xdr:from>
    <xdr:to>
      <xdr:col>28</xdr:col>
      <xdr:colOff>78155</xdr:colOff>
      <xdr:row>32</xdr:row>
      <xdr:rowOff>162243</xdr:rowOff>
    </xdr:to>
    <xdr:graphicFrame macro="">
      <xdr:nvGraphicFramePr>
        <xdr:cNvPr id="63" name="Chart 62">
          <a:extLst>
            <a:ext uri="{FF2B5EF4-FFF2-40B4-BE49-F238E27FC236}">
              <a16:creationId xmlns:a16="http://schemas.microsoft.com/office/drawing/2014/main" id="{E25B5DD9-F697-40C5-A695-795125930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23612</xdr:colOff>
      <xdr:row>33</xdr:row>
      <xdr:rowOff>2234</xdr:rowOff>
    </xdr:from>
    <xdr:to>
      <xdr:col>11</xdr:col>
      <xdr:colOff>326571</xdr:colOff>
      <xdr:row>49</xdr:row>
      <xdr:rowOff>9896</xdr:rowOff>
    </xdr:to>
    <xdr:graphicFrame macro="">
      <xdr:nvGraphicFramePr>
        <xdr:cNvPr id="64" name="Chart 63">
          <a:extLst>
            <a:ext uri="{FF2B5EF4-FFF2-40B4-BE49-F238E27FC236}">
              <a16:creationId xmlns:a16="http://schemas.microsoft.com/office/drawing/2014/main" id="{C7228486-8091-4A0B-83F9-4755B8772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385948</xdr:colOff>
      <xdr:row>33</xdr:row>
      <xdr:rowOff>11172</xdr:rowOff>
    </xdr:from>
    <xdr:to>
      <xdr:col>28</xdr:col>
      <xdr:colOff>70265</xdr:colOff>
      <xdr:row>49</xdr:row>
      <xdr:rowOff>959</xdr:rowOff>
    </xdr:to>
    <xdr:graphicFrame macro="">
      <xdr:nvGraphicFramePr>
        <xdr:cNvPr id="65" name="Chart 64">
          <a:extLst>
            <a:ext uri="{FF2B5EF4-FFF2-40B4-BE49-F238E27FC236}">
              <a16:creationId xmlns:a16="http://schemas.microsoft.com/office/drawing/2014/main" id="{E18F3E3D-098E-418E-BF37-0C1ED146F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brez Khan" refreshedDate="46198.873932754628" createdVersion="8" refreshedVersion="8" minRefreshableVersion="3" recordCount="500" xr:uid="{3FE62684-86B2-4F4C-BA3B-67998C25D0B1}">
  <cacheSource type="worksheet">
    <worksheetSource name="Table1"/>
  </cacheSource>
  <cacheFields count="24">
    <cacheField name="Loan_ID" numFmtId="0">
      <sharedItems/>
    </cacheField>
    <cacheField name="Customer_ID" numFmtId="0">
      <sharedItems/>
    </cacheField>
    <cacheField name="Age" numFmtId="0">
      <sharedItems containsSemiMixedTypes="0" containsString="0" containsNumber="1" containsInteger="1" minValue="21" maxValue="55"/>
    </cacheField>
    <cacheField name="Gender" numFmtId="0">
      <sharedItems/>
    </cacheField>
    <cacheField name="City" numFmtId="0">
      <sharedItems count="5">
        <s v="Mumbai"/>
        <s v="Chennai"/>
        <s v="Delhi"/>
        <s v="Hyderabad"/>
        <s v="Bangalore"/>
      </sharedItems>
    </cacheField>
    <cacheField name="Employment_Type" numFmtId="0">
      <sharedItems count="2">
        <s v="Salaried"/>
        <s v="Self-Employed"/>
      </sharedItems>
    </cacheField>
    <cacheField name="Monthly_Income" numFmtId="0">
      <sharedItems containsSemiMixedTypes="0" containsString="0" containsNumber="1" containsInteger="1" minValue="15221" maxValue="149777"/>
    </cacheField>
    <cacheField name="Loan_Amount" numFmtId="0">
      <sharedItems containsSemiMixedTypes="0" containsString="0" containsNumber="1" containsInteger="1" minValue="7251" maxValue="499614"/>
    </cacheField>
    <cacheField name="Loan_Tenure_Months" numFmtId="0">
      <sharedItems containsSemiMixedTypes="0" containsString="0" containsNumber="1" containsInteger="1" minValue="3" maxValue="24" count="5">
        <n v="3"/>
        <n v="24"/>
        <n v="18"/>
        <n v="6"/>
        <n v="12"/>
      </sharedItems>
    </cacheField>
    <cacheField name="Interest_Rate" numFmtId="0">
      <sharedItems containsSemiMixedTypes="0" containsString="0" containsNumber="1" minValue="12.1" maxValue="35.94"/>
    </cacheField>
    <cacheField name="EMI_Amount" numFmtId="0">
      <sharedItems containsSemiMixedTypes="0" containsString="0" containsNumber="1" minValue="425.89" maxValue="176006.49"/>
    </cacheField>
    <cacheField name="Loan_Purpose" numFmtId="0">
      <sharedItems count="5">
        <s v="Business"/>
        <s v="Shopping"/>
        <s v="Travel"/>
        <s v="Medical"/>
        <s v="Education"/>
      </sharedItems>
    </cacheField>
    <cacheField name="Loan_Status" numFmtId="0">
      <sharedItems count="4">
        <s v="Active"/>
        <s v="Defaulted"/>
        <s v="Closed"/>
        <s v="Restructured"/>
      </sharedItems>
    </cacheField>
    <cacheField name="Disbursement_Date" numFmtId="167">
      <sharedItems containsSemiMixedTypes="0" containsNonDate="0" containsDate="1" containsString="0" minDate="2022-01-07T00:00:00" maxDate="2023-12-29T00:00:00" count="354">
        <d v="2023-08-28T00:00:00"/>
        <d v="2022-01-07T00:00:00"/>
        <d v="2022-02-14T00:00:00"/>
        <d v="2022-03-23T00:00:00"/>
        <d v="2023-07-01T00:00:00"/>
        <d v="2023-08-04T00:00:00"/>
        <d v="2023-08-21T00:00:00"/>
        <d v="2023-01-30T00:00:00"/>
        <d v="2022-10-28T00:00:00"/>
        <d v="2022-06-15T00:00:00"/>
        <d v="2022-03-29T00:00:00"/>
        <d v="2022-11-16T00:00:00"/>
        <d v="2022-01-08T00:00:00"/>
        <d v="2022-09-06T00:00:00"/>
        <d v="2022-03-04T00:00:00"/>
        <d v="2023-03-30T00:00:00"/>
        <d v="2022-06-18T00:00:00"/>
        <d v="2022-11-18T00:00:00"/>
        <d v="2022-05-03T00:00:00"/>
        <d v="2023-11-19T00:00:00"/>
        <d v="2022-03-12T00:00:00"/>
        <d v="2022-04-29T00:00:00"/>
        <d v="2022-04-05T00:00:00"/>
        <d v="2022-04-25T00:00:00"/>
        <d v="2022-08-04T00:00:00"/>
        <d v="2023-11-17T00:00:00"/>
        <d v="2022-11-09T00:00:00"/>
        <d v="2022-01-29T00:00:00"/>
        <d v="2023-06-04T00:00:00"/>
        <d v="2023-02-20T00:00:00"/>
        <d v="2022-10-18T00:00:00"/>
        <d v="2023-04-12T00:00:00"/>
        <d v="2022-08-13T00:00:00"/>
        <d v="2023-10-04T00:00:00"/>
        <d v="2023-01-28T00:00:00"/>
        <d v="2023-08-13T00:00:00"/>
        <d v="2022-12-11T00:00:00"/>
        <d v="2022-02-21T00:00:00"/>
        <d v="2022-12-25T00:00:00"/>
        <d v="2023-04-22T00:00:00"/>
        <d v="2022-07-23T00:00:00"/>
        <d v="2022-01-13T00:00:00"/>
        <d v="2022-01-30T00:00:00"/>
        <d v="2023-06-14T00:00:00"/>
        <d v="2023-12-10T00:00:00"/>
        <d v="2022-05-04T00:00:00"/>
        <d v="2022-04-13T00:00:00"/>
        <d v="2022-04-16T00:00:00"/>
        <d v="2023-05-19T00:00:00"/>
        <d v="2023-06-20T00:00:00"/>
        <d v="2022-06-10T00:00:00"/>
        <d v="2022-03-14T00:00:00"/>
        <d v="2022-06-19T00:00:00"/>
        <d v="2022-03-24T00:00:00"/>
        <d v="2023-08-14T00:00:00"/>
        <d v="2023-02-23T00:00:00"/>
        <d v="2023-04-11T00:00:00"/>
        <d v="2023-10-03T00:00:00"/>
        <d v="2023-12-28T00:00:00"/>
        <d v="2023-03-02T00:00:00"/>
        <d v="2022-12-15T00:00:00"/>
        <d v="2023-11-11T00:00:00"/>
        <d v="2022-05-28T00:00:00"/>
        <d v="2022-11-21T00:00:00"/>
        <d v="2022-02-17T00:00:00"/>
        <d v="2022-06-29T00:00:00"/>
        <d v="2023-11-25T00:00:00"/>
        <d v="2023-01-26T00:00:00"/>
        <d v="2023-09-14T00:00:00"/>
        <d v="2022-10-30T00:00:00"/>
        <d v="2023-09-17T00:00:00"/>
        <d v="2022-08-29T00:00:00"/>
        <d v="2022-10-14T00:00:00"/>
        <d v="2023-02-12T00:00:00"/>
        <d v="2022-06-28T00:00:00"/>
        <d v="2023-06-23T00:00:00"/>
        <d v="2023-04-15T00:00:00"/>
        <d v="2022-05-10T00:00:00"/>
        <d v="2023-03-17T00:00:00"/>
        <d v="2022-03-10T00:00:00"/>
        <d v="2022-12-29T00:00:00"/>
        <d v="2023-07-24T00:00:00"/>
        <d v="2022-12-26T00:00:00"/>
        <d v="2022-12-16T00:00:00"/>
        <d v="2023-06-24T00:00:00"/>
        <d v="2022-10-24T00:00:00"/>
        <d v="2023-02-11T00:00:00"/>
        <d v="2022-11-29T00:00:00"/>
        <d v="2022-11-14T00:00:00"/>
        <d v="2023-10-05T00:00:00"/>
        <d v="2022-02-08T00:00:00"/>
        <d v="2023-08-09T00:00:00"/>
        <d v="2022-02-10T00:00:00"/>
        <d v="2023-10-09T00:00:00"/>
        <d v="2023-11-03T00:00:00"/>
        <d v="2022-11-13T00:00:00"/>
        <d v="2023-11-09T00:00:00"/>
        <d v="2023-03-31T00:00:00"/>
        <d v="2023-01-27T00:00:00"/>
        <d v="2022-10-19T00:00:00"/>
        <d v="2022-02-24T00:00:00"/>
        <d v="2022-05-21T00:00:00"/>
        <d v="2022-04-24T00:00:00"/>
        <d v="2023-09-04T00:00:00"/>
        <d v="2023-11-12T00:00:00"/>
        <d v="2023-01-01T00:00:00"/>
        <d v="2023-06-12T00:00:00"/>
        <d v="2022-05-08T00:00:00"/>
        <d v="2022-03-26T00:00:00"/>
        <d v="2022-06-20T00:00:00"/>
        <d v="2023-06-10T00:00:00"/>
        <d v="2023-09-12T00:00:00"/>
        <d v="2022-01-27T00:00:00"/>
        <d v="2022-05-06T00:00:00"/>
        <d v="2023-06-05T00:00:00"/>
        <d v="2023-09-19T00:00:00"/>
        <d v="2022-05-12T00:00:00"/>
        <d v="2023-06-16T00:00:00"/>
        <d v="2022-06-25T00:00:00"/>
        <d v="2023-04-21T00:00:00"/>
        <d v="2022-09-05T00:00:00"/>
        <d v="2023-08-15T00:00:00"/>
        <d v="2022-09-04T00:00:00"/>
        <d v="2022-09-28T00:00:00"/>
        <d v="2023-10-01T00:00:00"/>
        <d v="2022-02-16T00:00:00"/>
        <d v="2023-08-31T00:00:00"/>
        <d v="2023-11-29T00:00:00"/>
        <d v="2022-03-05T00:00:00"/>
        <d v="2023-11-24T00:00:00"/>
        <d v="2022-02-13T00:00:00"/>
        <d v="2023-07-02T00:00:00"/>
        <d v="2022-12-10T00:00:00"/>
        <d v="2022-07-10T00:00:00"/>
        <d v="2022-05-24T00:00:00"/>
        <d v="2022-09-25T00:00:00"/>
        <d v="2023-10-17T00:00:00"/>
        <d v="2023-07-05T00:00:00"/>
        <d v="2023-08-10T00:00:00"/>
        <d v="2022-05-16T00:00:00"/>
        <d v="2023-01-19T00:00:00"/>
        <d v="2022-08-17T00:00:00"/>
        <d v="2022-04-26T00:00:00"/>
        <d v="2022-02-15T00:00:00"/>
        <d v="2022-08-31T00:00:00"/>
        <d v="2022-07-28T00:00:00"/>
        <d v="2022-03-16T00:00:00"/>
        <d v="2023-04-23T00:00:00"/>
        <d v="2023-07-21T00:00:00"/>
        <d v="2023-04-17T00:00:00"/>
        <d v="2023-02-27T00:00:00"/>
        <d v="2023-11-07T00:00:00"/>
        <d v="2022-04-20T00:00:00"/>
        <d v="2023-12-15T00:00:00"/>
        <d v="2022-07-03T00:00:00"/>
        <d v="2023-01-29T00:00:00"/>
        <d v="2022-12-01T00:00:00"/>
        <d v="2022-09-10T00:00:00"/>
        <d v="2023-01-04T00:00:00"/>
        <d v="2022-05-23T00:00:00"/>
        <d v="2023-03-27T00:00:00"/>
        <d v="2023-12-13T00:00:00"/>
        <d v="2023-11-30T00:00:00"/>
        <d v="2022-09-16T00:00:00"/>
        <d v="2022-04-22T00:00:00"/>
        <d v="2022-08-16T00:00:00"/>
        <d v="2022-04-10T00:00:00"/>
        <d v="2023-06-13T00:00:00"/>
        <d v="2023-04-06T00:00:00"/>
        <d v="2023-11-18T00:00:00"/>
        <d v="2023-11-20T00:00:00"/>
        <d v="2023-03-10T00:00:00"/>
        <d v="2023-01-03T00:00:00"/>
        <d v="2022-08-14T00:00:00"/>
        <d v="2023-07-11T00:00:00"/>
        <d v="2023-03-26T00:00:00"/>
        <d v="2023-08-07T00:00:00"/>
        <d v="2023-02-26T00:00:00"/>
        <d v="2023-08-03T00:00:00"/>
        <d v="2022-07-27T00:00:00"/>
        <d v="2023-03-16T00:00:00"/>
        <d v="2023-03-09T00:00:00"/>
        <d v="2023-12-09T00:00:00"/>
        <d v="2023-05-27T00:00:00"/>
        <d v="2022-01-18T00:00:00"/>
        <d v="2023-10-18T00:00:00"/>
        <d v="2023-02-05T00:00:00"/>
        <d v="2023-11-14T00:00:00"/>
        <d v="2022-01-31T00:00:00"/>
        <d v="2023-01-12T00:00:00"/>
        <d v="2022-02-06T00:00:00"/>
        <d v="2023-08-01T00:00:00"/>
        <d v="2023-10-15T00:00:00"/>
        <d v="2022-11-22T00:00:00"/>
        <d v="2022-08-09T00:00:00"/>
        <d v="2023-12-04T00:00:00"/>
        <d v="2022-07-24T00:00:00"/>
        <d v="2023-02-02T00:00:00"/>
        <d v="2023-12-22T00:00:00"/>
        <d v="2022-01-21T00:00:00"/>
        <d v="2023-10-27T00:00:00"/>
        <d v="2023-08-05T00:00:00"/>
        <d v="2023-10-14T00:00:00"/>
        <d v="2023-03-25T00:00:00"/>
        <d v="2022-06-16T00:00:00"/>
        <d v="2022-03-18T00:00:00"/>
        <d v="2023-01-05T00:00:00"/>
        <d v="2022-11-12T00:00:00"/>
        <d v="2022-11-24T00:00:00"/>
        <d v="2023-03-01T00:00:00"/>
        <d v="2023-01-17T00:00:00"/>
        <d v="2022-10-03T00:00:00"/>
        <d v="2022-03-09T00:00:00"/>
        <d v="2022-10-08T00:00:00"/>
        <d v="2022-06-17T00:00:00"/>
        <d v="2023-10-25T00:00:00"/>
        <d v="2023-08-22T00:00:00"/>
        <d v="2022-09-23T00:00:00"/>
        <d v="2022-09-24T00:00:00"/>
        <d v="2023-02-28T00:00:00"/>
        <d v="2023-05-15T00:00:00"/>
        <d v="2022-04-01T00:00:00"/>
        <d v="2022-11-26T00:00:00"/>
        <d v="2022-03-08T00:00:00"/>
        <d v="2023-02-18T00:00:00"/>
        <d v="2023-09-01T00:00:00"/>
        <d v="2022-10-17T00:00:00"/>
        <d v="2022-08-01T00:00:00"/>
        <d v="2022-09-20T00:00:00"/>
        <d v="2023-03-13T00:00:00"/>
        <d v="2023-12-02T00:00:00"/>
        <d v="2022-01-12T00:00:00"/>
        <d v="2023-07-18T00:00:00"/>
        <d v="2023-11-01T00:00:00"/>
        <d v="2023-11-02T00:00:00"/>
        <d v="2023-11-06T00:00:00"/>
        <d v="2022-09-18T00:00:00"/>
        <d v="2023-04-07T00:00:00"/>
        <d v="2023-10-02T00:00:00"/>
        <d v="2023-12-11T00:00:00"/>
        <d v="2023-10-11T00:00:00"/>
        <d v="2022-10-13T00:00:00"/>
        <d v="2023-07-29T00:00:00"/>
        <d v="2023-06-11T00:00:00"/>
        <d v="2023-08-12T00:00:00"/>
        <d v="2023-10-19T00:00:00"/>
        <d v="2022-06-14T00:00:00"/>
        <d v="2022-04-11T00:00:00"/>
        <d v="2023-05-13T00:00:00"/>
        <d v="2022-10-11T00:00:00"/>
        <d v="2022-10-15T00:00:00"/>
        <d v="2023-05-11T00:00:00"/>
        <d v="2023-04-26T00:00:00"/>
        <d v="2023-01-10T00:00:00"/>
        <d v="2023-05-29T00:00:00"/>
        <d v="2022-05-18T00:00:00"/>
        <d v="2022-08-10T00:00:00"/>
        <d v="2022-06-21T00:00:00"/>
        <d v="2022-06-03T00:00:00"/>
        <d v="2023-11-26T00:00:00"/>
        <d v="2023-03-12T00:00:00"/>
        <d v="2023-06-17T00:00:00"/>
        <d v="2023-08-02T00:00:00"/>
        <d v="2022-07-19T00:00:00"/>
        <d v="2022-10-10T00:00:00"/>
        <d v="2022-12-22T00:00:00"/>
        <d v="2023-05-31T00:00:00"/>
        <d v="2023-05-30T00:00:00"/>
        <d v="2023-08-18T00:00:00"/>
        <d v="2022-07-08T00:00:00"/>
        <d v="2023-10-08T00:00:00"/>
        <d v="2023-10-07T00:00:00"/>
        <d v="2023-12-19T00:00:00"/>
        <d v="2022-09-26T00:00:00"/>
        <d v="2022-02-05T00:00:00"/>
        <d v="2022-11-07T00:00:00"/>
        <d v="2023-04-20T00:00:00"/>
        <d v="2023-02-03T00:00:00"/>
        <d v="2022-08-30T00:00:00"/>
        <d v="2023-01-16T00:00:00"/>
        <d v="2022-08-27T00:00:00"/>
        <d v="2023-07-10T00:00:00"/>
        <d v="2023-09-28T00:00:00"/>
        <d v="2022-04-09T00:00:00"/>
        <d v="2023-11-05T00:00:00"/>
        <d v="2023-11-22T00:00:00"/>
        <d v="2022-12-27T00:00:00"/>
        <d v="2023-04-09T00:00:00"/>
        <d v="2022-11-19T00:00:00"/>
        <d v="2023-10-12T00:00:00"/>
        <d v="2023-09-02T00:00:00"/>
        <d v="2023-07-16T00:00:00"/>
        <d v="2022-11-25T00:00:00"/>
        <d v="2023-01-25T00:00:00"/>
        <d v="2022-09-11T00:00:00"/>
        <d v="2023-03-04T00:00:00"/>
        <d v="2023-09-03T00:00:00"/>
        <d v="2022-07-17T00:00:00"/>
        <d v="2023-12-06T00:00:00"/>
        <d v="2023-06-18T00:00:00"/>
        <d v="2023-04-18T00:00:00"/>
        <d v="2023-02-07T00:00:00"/>
        <d v="2022-04-27T00:00:00"/>
        <d v="2022-05-15T00:00:00"/>
        <d v="2023-04-10T00:00:00"/>
        <d v="2022-05-29T00:00:00"/>
        <d v="2023-04-28T00:00:00"/>
        <d v="2022-07-18T00:00:00"/>
        <d v="2023-04-19T00:00:00"/>
        <d v="2022-06-02T00:00:00"/>
        <d v="2022-12-02T00:00:00"/>
        <d v="2023-12-05T00:00:00"/>
        <d v="2023-03-28T00:00:00"/>
        <d v="2023-12-23T00:00:00"/>
        <d v="2022-04-28T00:00:00"/>
        <d v="2023-09-23T00:00:00"/>
        <d v="2022-10-16T00:00:00"/>
        <d v="2022-07-12T00:00:00"/>
        <d v="2022-12-30T00:00:00"/>
        <d v="2022-09-09T00:00:00"/>
        <d v="2023-08-11T00:00:00"/>
        <d v="2022-10-09T00:00:00"/>
        <d v="2022-12-18T00:00:00"/>
        <d v="2023-10-20T00:00:00"/>
        <d v="2023-01-24T00:00:00"/>
        <d v="2023-06-29T00:00:00"/>
        <d v="2022-01-20T00:00:00"/>
        <d v="2023-05-05T00:00:00"/>
        <d v="2023-11-08T00:00:00"/>
        <d v="2022-05-02T00:00:00"/>
        <d v="2023-09-26T00:00:00"/>
        <d v="2022-04-19T00:00:00"/>
        <d v="2023-08-19T00:00:00"/>
        <d v="2023-03-03T00:00:00"/>
        <d v="2023-07-07T00:00:00"/>
        <d v="2022-02-25T00:00:00"/>
        <d v="2022-07-02T00:00:00"/>
        <d v="2023-05-06T00:00:00"/>
        <d v="2022-01-17T00:00:00"/>
        <d v="2023-12-03T00:00:00"/>
        <d v="2022-03-20T00:00:00"/>
        <d v="2023-05-01T00:00:00"/>
        <d v="2022-02-18T00:00:00"/>
        <d v="2023-09-25T00:00:00"/>
        <d v="2022-06-01T00:00:00"/>
        <d v="2023-10-06T00:00:00"/>
        <d v="2023-07-27T00:00:00"/>
        <d v="2022-11-11T00:00:00"/>
        <d v="2023-08-25T00:00:00"/>
        <d v="2023-06-02T00:00:00"/>
        <d v="2023-06-01T00:00:00"/>
        <d v="2023-04-13T00:00:00"/>
        <d v="2022-06-22T00:00:00"/>
        <d v="2023-10-22T00:00:00"/>
      </sharedItems>
      <fieldGroup par="23"/>
    </cacheField>
    <cacheField name="Closure_Date" numFmtId="0">
      <sharedItems containsBlank="1"/>
    </cacheField>
    <cacheField name="Days_to_Close" numFmtId="0">
      <sharedItems containsString="0" containsBlank="1" containsNumber="1" containsInteger="1" minValue="3" maxValue="843"/>
    </cacheField>
    <cacheField name="Credit_Score" numFmtId="0">
      <sharedItems containsSemiMixedTypes="0" containsString="0" containsNumber="1" containsInteger="1" minValue="300" maxValue="850"/>
    </cacheField>
    <cacheField name="DPD_30" numFmtId="0">
      <sharedItems/>
    </cacheField>
    <cacheField name="Recovery_Amount" numFmtId="0">
      <sharedItems containsSemiMixedTypes="0" containsString="0" containsNumber="1" minValue="0" maxValue="362950.9"/>
    </cacheField>
    <cacheField name="Disbursment Month" numFmtId="14">
      <sharedItems count="24">
        <s v="Aug-23"/>
        <s v="Jan-22"/>
        <s v="Feb-22"/>
        <s v="Mar-22"/>
        <s v="Jul-23"/>
        <s v="Jan-23"/>
        <s v="Oct-22"/>
        <s v="Jun-22"/>
        <s v="Nov-22"/>
        <s v="Sep-22"/>
        <s v="Mar-23"/>
        <s v="May-22"/>
        <s v="Nov-23"/>
        <s v="Apr-22"/>
        <s v="Aug-22"/>
        <s v="Jun-23"/>
        <s v="Feb-23"/>
        <s v="Apr-23"/>
        <s v="Oct-23"/>
        <s v="Dec-22"/>
        <s v="Jul-22"/>
        <s v="Dec-23"/>
        <s v="May-23"/>
        <s v="Sep-23"/>
      </sharedItems>
    </cacheField>
    <cacheField name="Default Interest Rate" numFmtId="166">
      <sharedItems containsSemiMixedTypes="0" containsString="0" containsNumber="1" minValue="0.248" maxValue="0.248"/>
    </cacheField>
    <cacheField name="Months (Disbursement_Date)" numFmtId="0" databaseField="0">
      <fieldGroup base="13">
        <rangePr groupBy="months" startDate="2022-01-07T00:00:00" endDate="2023-12-29T00:00:00"/>
        <groupItems count="14">
          <s v="&lt;07/01/2022"/>
          <s v="Jan"/>
          <s v="Feb"/>
          <s v="Mar"/>
          <s v="Apr"/>
          <s v="May"/>
          <s v="Jun"/>
          <s v="Jul"/>
          <s v="Aug"/>
          <s v="Sep"/>
          <s v="Oct"/>
          <s v="Nov"/>
          <s v="Dec"/>
          <s v="&gt;29/12/2023"/>
        </groupItems>
      </fieldGroup>
    </cacheField>
    <cacheField name="Quarters (Disbursement_Date)" numFmtId="0" databaseField="0">
      <fieldGroup base="13">
        <rangePr groupBy="quarters" startDate="2022-01-07T00:00:00" endDate="2023-12-29T00:00:00"/>
        <groupItems count="6">
          <s v="&lt;07/01/2022"/>
          <s v="Qtr1"/>
          <s v="Qtr2"/>
          <s v="Qtr3"/>
          <s v="Qtr4"/>
          <s v="&gt;29/12/2023"/>
        </groupItems>
      </fieldGroup>
    </cacheField>
    <cacheField name="Years (Disbursement_Date)" numFmtId="0" databaseField="0">
      <fieldGroup base="13">
        <rangePr groupBy="years" startDate="2022-01-07T00:00:00" endDate="2023-12-29T00:00:00"/>
        <groupItems count="4">
          <s v="&lt;07/01/2022"/>
          <s v="2022"/>
          <s v="2023"/>
          <s v="&gt;29/12/2023"/>
        </groupItems>
      </fieldGroup>
    </cacheField>
  </cacheFields>
  <extLst>
    <ext xmlns:x14="http://schemas.microsoft.com/office/spreadsheetml/2009/9/main" uri="{725AE2AE-9491-48be-B2B4-4EB974FC3084}">
      <x14:pivotCacheDefinition pivotCacheId="10160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N0001"/>
    <s v="CU2824"/>
    <n v="22"/>
    <s v="Female"/>
    <x v="0"/>
    <x v="0"/>
    <n v="51579"/>
    <n v="391123"/>
    <x v="0"/>
    <n v="28.24"/>
    <n v="136558.19"/>
    <x v="0"/>
    <x v="0"/>
    <x v="0"/>
    <m/>
    <m/>
    <n v="732"/>
    <s v="Yes"/>
    <n v="0"/>
    <x v="0"/>
    <n v="0.248"/>
  </r>
  <r>
    <s v="LN0002"/>
    <s v="CU2535"/>
    <n v="34"/>
    <s v="Male"/>
    <x v="1"/>
    <x v="0"/>
    <n v="67124"/>
    <n v="380400"/>
    <x v="1"/>
    <n v="22.07"/>
    <n v="19747.599999999999"/>
    <x v="1"/>
    <x v="1"/>
    <x v="1"/>
    <m/>
    <m/>
    <n v="463"/>
    <s v="Yes"/>
    <n v="223940.56"/>
    <x v="1"/>
    <n v="0.248"/>
  </r>
  <r>
    <s v="LN0003"/>
    <s v="CU6574"/>
    <n v="38"/>
    <s v="Male"/>
    <x v="0"/>
    <x v="1"/>
    <n v="41793"/>
    <n v="53625"/>
    <x v="2"/>
    <n v="14.32"/>
    <n v="3328.25"/>
    <x v="2"/>
    <x v="1"/>
    <x v="2"/>
    <m/>
    <m/>
    <n v="770"/>
    <s v="Yes"/>
    <n v="25491.16"/>
    <x v="2"/>
    <n v="0.248"/>
  </r>
  <r>
    <s v="LN0004"/>
    <s v="CU7201"/>
    <n v="26"/>
    <s v="Female"/>
    <x v="1"/>
    <x v="1"/>
    <n v="65407"/>
    <n v="374398"/>
    <x v="0"/>
    <n v="13.1"/>
    <n v="127533.98"/>
    <x v="3"/>
    <x v="1"/>
    <x v="3"/>
    <m/>
    <m/>
    <n v="538"/>
    <s v="Yes"/>
    <n v="264526.63"/>
    <x v="3"/>
    <n v="0.248"/>
  </r>
  <r>
    <s v="LN0005"/>
    <s v="CU7227"/>
    <n v="38"/>
    <s v="Female"/>
    <x v="2"/>
    <x v="0"/>
    <n v="112040"/>
    <n v="191264"/>
    <x v="3"/>
    <n v="28.08"/>
    <n v="34538.39"/>
    <x v="4"/>
    <x v="2"/>
    <x v="4"/>
    <s v="2023-11-03"/>
    <n v="125"/>
    <n v="467"/>
    <s v="No"/>
    <n v="0"/>
    <x v="4"/>
    <n v="0.248"/>
  </r>
  <r>
    <s v="LN0006"/>
    <s v="CU5422"/>
    <n v="35"/>
    <s v="Female"/>
    <x v="3"/>
    <x v="0"/>
    <n v="23414"/>
    <n v="427075"/>
    <x v="4"/>
    <n v="21.63"/>
    <n v="39895.81"/>
    <x v="4"/>
    <x v="2"/>
    <x v="5"/>
    <s v="2024-01-12"/>
    <n v="161"/>
    <n v="517"/>
    <s v="No"/>
    <n v="0"/>
    <x v="0"/>
    <n v="0.248"/>
  </r>
  <r>
    <s v="LN0007"/>
    <s v="CU7482"/>
    <n v="50"/>
    <s v="Male"/>
    <x v="2"/>
    <x v="0"/>
    <n v="79651"/>
    <n v="395588"/>
    <x v="1"/>
    <n v="24.94"/>
    <n v="21101.23"/>
    <x v="0"/>
    <x v="3"/>
    <x v="6"/>
    <s v="2024-03-12"/>
    <n v="204"/>
    <n v="670"/>
    <s v="Yes"/>
    <n v="0"/>
    <x v="0"/>
    <n v="0.248"/>
  </r>
  <r>
    <s v="LN0008"/>
    <s v="CU4593"/>
    <n v="29"/>
    <s v="Female"/>
    <x v="3"/>
    <x v="0"/>
    <n v="43743"/>
    <n v="85132"/>
    <x v="3"/>
    <n v="31.01"/>
    <n v="15499.25"/>
    <x v="1"/>
    <x v="0"/>
    <x v="7"/>
    <m/>
    <m/>
    <n v="690"/>
    <s v="No"/>
    <n v="0"/>
    <x v="5"/>
    <n v="0.248"/>
  </r>
  <r>
    <s v="LN0009"/>
    <s v="CU8668"/>
    <n v="54"/>
    <s v="Female"/>
    <x v="1"/>
    <x v="0"/>
    <n v="45029"/>
    <n v="362412"/>
    <x v="1"/>
    <n v="30.02"/>
    <n v="20267.21"/>
    <x v="2"/>
    <x v="0"/>
    <x v="8"/>
    <m/>
    <m/>
    <n v="745"/>
    <s v="No"/>
    <n v="0"/>
    <x v="6"/>
    <n v="0.248"/>
  </r>
  <r>
    <s v="LN0010"/>
    <s v="CU1053"/>
    <n v="37"/>
    <s v="Male"/>
    <x v="1"/>
    <x v="0"/>
    <n v="93235"/>
    <n v="446277"/>
    <x v="1"/>
    <n v="26.62"/>
    <n v="24182.76"/>
    <x v="3"/>
    <x v="1"/>
    <x v="9"/>
    <m/>
    <m/>
    <n v="843"/>
    <s v="Yes"/>
    <n v="331559.46000000002"/>
    <x v="7"/>
    <n v="0.248"/>
  </r>
  <r>
    <s v="LN0011"/>
    <s v="CU6310"/>
    <n v="52"/>
    <s v="Male"/>
    <x v="3"/>
    <x v="1"/>
    <n v="95612"/>
    <n v="130541"/>
    <x v="0"/>
    <n v="17.78"/>
    <n v="44809.440000000002"/>
    <x v="0"/>
    <x v="0"/>
    <x v="10"/>
    <m/>
    <m/>
    <n v="797"/>
    <s v="No"/>
    <n v="0"/>
    <x v="3"/>
    <n v="0.248"/>
  </r>
  <r>
    <s v="LN0012"/>
    <s v="CU9727"/>
    <n v="29"/>
    <s v="Male"/>
    <x v="4"/>
    <x v="0"/>
    <n v="84483"/>
    <n v="281653"/>
    <x v="1"/>
    <n v="22.16"/>
    <n v="14633.9"/>
    <x v="3"/>
    <x v="2"/>
    <x v="11"/>
    <s v="2023-12-29"/>
    <n v="408"/>
    <n v="682"/>
    <s v="No"/>
    <n v="0"/>
    <x v="8"/>
    <n v="0.248"/>
  </r>
  <r>
    <s v="LN0013"/>
    <s v="CU9479"/>
    <n v="49"/>
    <s v="Male"/>
    <x v="0"/>
    <x v="0"/>
    <n v="31784"/>
    <n v="182254"/>
    <x v="0"/>
    <n v="26.12"/>
    <n v="63415.02"/>
    <x v="3"/>
    <x v="2"/>
    <x v="12"/>
    <s v="2022-03-21"/>
    <n v="72"/>
    <n v="360"/>
    <s v="No"/>
    <n v="0"/>
    <x v="1"/>
    <n v="0.248"/>
  </r>
  <r>
    <s v="LN0014"/>
    <s v="CU1514"/>
    <n v="42"/>
    <s v="Male"/>
    <x v="1"/>
    <x v="0"/>
    <n v="88001"/>
    <n v="355737"/>
    <x v="2"/>
    <n v="17.14"/>
    <n v="22552.51"/>
    <x v="3"/>
    <x v="3"/>
    <x v="13"/>
    <s v="2024-01-03"/>
    <n v="484"/>
    <n v="716"/>
    <s v="Yes"/>
    <n v="0"/>
    <x v="9"/>
    <n v="0.248"/>
  </r>
  <r>
    <s v="LN0015"/>
    <s v="CU4119"/>
    <n v="27"/>
    <s v="Male"/>
    <x v="4"/>
    <x v="1"/>
    <n v="126038"/>
    <n v="220535"/>
    <x v="2"/>
    <n v="32.729999999999997"/>
    <n v="15667.68"/>
    <x v="4"/>
    <x v="0"/>
    <x v="14"/>
    <m/>
    <m/>
    <n v="712"/>
    <s v="No"/>
    <n v="0"/>
    <x v="3"/>
    <n v="0.248"/>
  </r>
  <r>
    <s v="LN0016"/>
    <s v="CU2790"/>
    <n v="36"/>
    <s v="Male"/>
    <x v="0"/>
    <x v="1"/>
    <n v="51747"/>
    <n v="226187"/>
    <x v="3"/>
    <n v="18.690000000000001"/>
    <n v="39779.300000000003"/>
    <x v="3"/>
    <x v="0"/>
    <x v="15"/>
    <m/>
    <m/>
    <n v="400"/>
    <s v="Yes"/>
    <n v="0"/>
    <x v="10"/>
    <n v="0.248"/>
  </r>
  <r>
    <s v="LN0017"/>
    <s v="CU9856"/>
    <n v="21"/>
    <s v="Male"/>
    <x v="0"/>
    <x v="0"/>
    <n v="121539"/>
    <n v="259615"/>
    <x v="2"/>
    <n v="17.13"/>
    <n v="16457.47"/>
    <x v="1"/>
    <x v="0"/>
    <x v="16"/>
    <m/>
    <m/>
    <n v="688"/>
    <s v="Yes"/>
    <n v="0"/>
    <x v="7"/>
    <n v="0.248"/>
  </r>
  <r>
    <s v="LN0018"/>
    <s v="CU7396"/>
    <n v="37"/>
    <s v="Female"/>
    <x v="2"/>
    <x v="1"/>
    <n v="142577"/>
    <n v="86158"/>
    <x v="3"/>
    <n v="19.12"/>
    <n v="15171"/>
    <x v="4"/>
    <x v="0"/>
    <x v="17"/>
    <m/>
    <m/>
    <n v="358"/>
    <s v="Yes"/>
    <n v="0"/>
    <x v="8"/>
    <n v="0.248"/>
  </r>
  <r>
    <s v="LN0019"/>
    <s v="CU8811"/>
    <n v="53"/>
    <s v="Male"/>
    <x v="3"/>
    <x v="0"/>
    <n v="63712"/>
    <n v="40924"/>
    <x v="1"/>
    <n v="13.63"/>
    <n v="1957.73"/>
    <x v="3"/>
    <x v="3"/>
    <x v="18"/>
    <s v="2023-12-07"/>
    <n v="583"/>
    <n v="552"/>
    <s v="Yes"/>
    <n v="0"/>
    <x v="11"/>
    <n v="0.248"/>
  </r>
  <r>
    <s v="LN0020"/>
    <s v="CU1651"/>
    <n v="26"/>
    <s v="Female"/>
    <x v="1"/>
    <x v="1"/>
    <n v="83358"/>
    <n v="112090"/>
    <x v="4"/>
    <n v="17.73"/>
    <n v="10262.01"/>
    <x v="1"/>
    <x v="2"/>
    <x v="19"/>
    <s v="2024-05-02"/>
    <n v="165"/>
    <n v="607"/>
    <s v="No"/>
    <n v="0"/>
    <x v="12"/>
    <n v="0.248"/>
  </r>
  <r>
    <s v="LN0021"/>
    <s v="CU2188"/>
    <n v="21"/>
    <s v="Female"/>
    <x v="1"/>
    <x v="0"/>
    <n v="34204"/>
    <n v="286875"/>
    <x v="3"/>
    <n v="24.14"/>
    <n v="51234.76"/>
    <x v="3"/>
    <x v="1"/>
    <x v="20"/>
    <m/>
    <m/>
    <n v="550"/>
    <s v="Yes"/>
    <n v="102893.16"/>
    <x v="3"/>
    <n v="0.248"/>
  </r>
  <r>
    <s v="LN0022"/>
    <s v="CU3584"/>
    <n v="49"/>
    <s v="Female"/>
    <x v="1"/>
    <x v="0"/>
    <n v="93480"/>
    <n v="493508"/>
    <x v="0"/>
    <n v="34.53"/>
    <n v="174059.31"/>
    <x v="3"/>
    <x v="1"/>
    <x v="21"/>
    <m/>
    <m/>
    <n v="409"/>
    <s v="Yes"/>
    <n v="305822.8"/>
    <x v="13"/>
    <n v="0.248"/>
  </r>
  <r>
    <s v="LN0023"/>
    <s v="CU3546"/>
    <n v="38"/>
    <s v="Female"/>
    <x v="1"/>
    <x v="0"/>
    <n v="104884"/>
    <n v="111743"/>
    <x v="4"/>
    <n v="24.13"/>
    <n v="10573.4"/>
    <x v="2"/>
    <x v="0"/>
    <x v="22"/>
    <m/>
    <m/>
    <n v="733"/>
    <s v="No"/>
    <n v="0"/>
    <x v="13"/>
    <n v="0.248"/>
  </r>
  <r>
    <s v="LN0024"/>
    <s v="CU1722"/>
    <n v="21"/>
    <s v="Female"/>
    <x v="0"/>
    <x v="1"/>
    <n v="57357"/>
    <n v="393618"/>
    <x v="2"/>
    <n v="25.24"/>
    <n v="26494.29"/>
    <x v="1"/>
    <x v="0"/>
    <x v="23"/>
    <m/>
    <m/>
    <n v="377"/>
    <s v="No"/>
    <n v="0"/>
    <x v="13"/>
    <n v="0.248"/>
  </r>
  <r>
    <s v="LN0025"/>
    <s v="CU3442"/>
    <n v="55"/>
    <s v="Male"/>
    <x v="2"/>
    <x v="0"/>
    <n v="127666"/>
    <n v="71818"/>
    <x v="0"/>
    <n v="19.399999999999999"/>
    <n v="24717.51"/>
    <x v="4"/>
    <x v="1"/>
    <x v="24"/>
    <m/>
    <m/>
    <n v="555"/>
    <s v="Yes"/>
    <n v="40710.28"/>
    <x v="14"/>
    <n v="0.248"/>
  </r>
  <r>
    <s v="LN0026"/>
    <s v="CU6794"/>
    <n v="47"/>
    <s v="Male"/>
    <x v="0"/>
    <x v="0"/>
    <n v="61413"/>
    <n v="467115"/>
    <x v="2"/>
    <n v="12.59"/>
    <n v="28613.82"/>
    <x v="2"/>
    <x v="3"/>
    <x v="25"/>
    <s v="2024-06-25"/>
    <n v="221"/>
    <n v="554"/>
    <s v="Yes"/>
    <n v="0"/>
    <x v="12"/>
    <n v="0.248"/>
  </r>
  <r>
    <s v="LN0027"/>
    <s v="CU5371"/>
    <n v="31"/>
    <s v="Male"/>
    <x v="4"/>
    <x v="0"/>
    <n v="138388"/>
    <n v="121619"/>
    <x v="3"/>
    <n v="31.6"/>
    <n v="22178.49"/>
    <x v="1"/>
    <x v="1"/>
    <x v="26"/>
    <m/>
    <m/>
    <n v="533"/>
    <s v="Yes"/>
    <n v="31140.12"/>
    <x v="8"/>
    <n v="0.248"/>
  </r>
  <r>
    <s v="LN0028"/>
    <s v="CU4164"/>
    <n v="46"/>
    <s v="Female"/>
    <x v="2"/>
    <x v="0"/>
    <n v="88170"/>
    <n v="189101"/>
    <x v="1"/>
    <n v="21.59"/>
    <n v="9771.9699999999993"/>
    <x v="0"/>
    <x v="1"/>
    <x v="27"/>
    <m/>
    <m/>
    <n v="418"/>
    <s v="Yes"/>
    <n v="135004.29"/>
    <x v="1"/>
    <n v="0.248"/>
  </r>
  <r>
    <s v="LN0029"/>
    <s v="CU5279"/>
    <n v="32"/>
    <s v="Female"/>
    <x v="3"/>
    <x v="0"/>
    <n v="128918"/>
    <n v="186239"/>
    <x v="4"/>
    <n v="22.47"/>
    <n v="17473.080000000002"/>
    <x v="0"/>
    <x v="0"/>
    <x v="7"/>
    <m/>
    <m/>
    <n v="494"/>
    <s v="No"/>
    <n v="0"/>
    <x v="5"/>
    <n v="0.248"/>
  </r>
  <r>
    <s v="LN0030"/>
    <s v="CU8144"/>
    <n v="21"/>
    <s v="Male"/>
    <x v="2"/>
    <x v="1"/>
    <n v="33343"/>
    <n v="353251"/>
    <x v="4"/>
    <n v="26.96"/>
    <n v="33911.35"/>
    <x v="4"/>
    <x v="1"/>
    <x v="28"/>
    <m/>
    <m/>
    <n v="616"/>
    <s v="Yes"/>
    <n v="200231.51"/>
    <x v="15"/>
    <n v="0.248"/>
  </r>
  <r>
    <s v="LN0031"/>
    <s v="CU6344"/>
    <n v="46"/>
    <s v="Female"/>
    <x v="1"/>
    <x v="0"/>
    <n v="65289"/>
    <n v="225434"/>
    <x v="2"/>
    <n v="28.26"/>
    <n v="15510.32"/>
    <x v="3"/>
    <x v="1"/>
    <x v="29"/>
    <m/>
    <m/>
    <n v="300"/>
    <s v="Yes"/>
    <n v="70496.02"/>
    <x v="16"/>
    <n v="0.248"/>
  </r>
  <r>
    <s v="LN0032"/>
    <s v="CU4443"/>
    <n v="48"/>
    <s v="Female"/>
    <x v="4"/>
    <x v="1"/>
    <n v="130909"/>
    <n v="359223"/>
    <x v="3"/>
    <n v="24.27"/>
    <n v="64179.28"/>
    <x v="3"/>
    <x v="0"/>
    <x v="30"/>
    <m/>
    <m/>
    <n v="827"/>
    <s v="No"/>
    <n v="0"/>
    <x v="6"/>
    <n v="0.248"/>
  </r>
  <r>
    <s v="LN0033"/>
    <s v="CU6491"/>
    <n v="26"/>
    <s v="Male"/>
    <x v="2"/>
    <x v="0"/>
    <n v="67200"/>
    <n v="82255"/>
    <x v="0"/>
    <n v="13.11"/>
    <n v="28019.59"/>
    <x v="1"/>
    <x v="0"/>
    <x v="31"/>
    <m/>
    <m/>
    <n v="724"/>
    <s v="No"/>
    <n v="0"/>
    <x v="17"/>
    <n v="0.248"/>
  </r>
  <r>
    <s v="LN0034"/>
    <s v="CU4185"/>
    <n v="45"/>
    <s v="Female"/>
    <x v="4"/>
    <x v="0"/>
    <n v="53684"/>
    <n v="348963"/>
    <x v="0"/>
    <n v="33.42"/>
    <n v="122859.4"/>
    <x v="4"/>
    <x v="3"/>
    <x v="32"/>
    <s v="2023-02-09"/>
    <n v="180"/>
    <n v="830"/>
    <s v="Yes"/>
    <n v="0"/>
    <x v="14"/>
    <n v="0.248"/>
  </r>
  <r>
    <s v="LN0035"/>
    <s v="CU8611"/>
    <n v="24"/>
    <s v="Male"/>
    <x v="3"/>
    <x v="1"/>
    <n v="49954"/>
    <n v="425173"/>
    <x v="2"/>
    <n v="28.02"/>
    <n v="29202.07"/>
    <x v="0"/>
    <x v="1"/>
    <x v="15"/>
    <m/>
    <m/>
    <n v="816"/>
    <s v="Yes"/>
    <n v="169524.35"/>
    <x v="10"/>
    <n v="0.248"/>
  </r>
  <r>
    <s v="LN0036"/>
    <s v="CU9976"/>
    <n v="49"/>
    <s v="Male"/>
    <x v="4"/>
    <x v="1"/>
    <n v="82945"/>
    <n v="399147"/>
    <x v="3"/>
    <n v="32.159999999999997"/>
    <n v="72901.960000000006"/>
    <x v="2"/>
    <x v="3"/>
    <x v="33"/>
    <s v="2024-02-03"/>
    <n v="122"/>
    <n v="581"/>
    <s v="Yes"/>
    <n v="0"/>
    <x v="18"/>
    <n v="0.248"/>
  </r>
  <r>
    <s v="LN0037"/>
    <s v="CU8206"/>
    <n v="25"/>
    <s v="Female"/>
    <x v="0"/>
    <x v="1"/>
    <n v="103040"/>
    <n v="172619"/>
    <x v="1"/>
    <n v="13.93"/>
    <n v="8282.23"/>
    <x v="3"/>
    <x v="2"/>
    <x v="34"/>
    <s v="2023-07-03"/>
    <n v="156"/>
    <n v="519"/>
    <s v="Yes"/>
    <n v="0"/>
    <x v="5"/>
    <n v="0.248"/>
  </r>
  <r>
    <s v="LN0038"/>
    <s v="CU7678"/>
    <n v="42"/>
    <s v="Female"/>
    <x v="4"/>
    <x v="0"/>
    <n v="69220"/>
    <n v="441674"/>
    <x v="2"/>
    <n v="21.35"/>
    <n v="28891.66"/>
    <x v="0"/>
    <x v="0"/>
    <x v="35"/>
    <m/>
    <m/>
    <n v="689"/>
    <s v="No"/>
    <n v="0"/>
    <x v="0"/>
    <n v="0.248"/>
  </r>
  <r>
    <s v="LN0039"/>
    <s v="CU6763"/>
    <n v="40"/>
    <s v="Female"/>
    <x v="4"/>
    <x v="0"/>
    <n v="142986"/>
    <n v="120040"/>
    <x v="4"/>
    <n v="22.46"/>
    <n v="11261.66"/>
    <x v="4"/>
    <x v="3"/>
    <x v="36"/>
    <s v="2024-01-29"/>
    <n v="414"/>
    <n v="469"/>
    <s v="Yes"/>
    <n v="0"/>
    <x v="19"/>
    <n v="0.248"/>
  </r>
  <r>
    <s v="LN0040"/>
    <s v="CU8657"/>
    <n v="29"/>
    <s v="Male"/>
    <x v="4"/>
    <x v="0"/>
    <n v="37006"/>
    <n v="341985"/>
    <x v="2"/>
    <n v="15.26"/>
    <n v="21376.53"/>
    <x v="1"/>
    <x v="2"/>
    <x v="37"/>
    <s v="2022-11-14"/>
    <n v="266"/>
    <n v="688"/>
    <s v="No"/>
    <n v="0"/>
    <x v="2"/>
    <n v="0.248"/>
  </r>
  <r>
    <s v="LN0041"/>
    <s v="CU8449"/>
    <n v="41"/>
    <s v="Female"/>
    <x v="4"/>
    <x v="1"/>
    <n v="125510"/>
    <n v="137262"/>
    <x v="0"/>
    <n v="23.29"/>
    <n v="47541.4"/>
    <x v="0"/>
    <x v="0"/>
    <x v="38"/>
    <m/>
    <m/>
    <n v="529"/>
    <s v="No"/>
    <n v="0"/>
    <x v="19"/>
    <n v="0.248"/>
  </r>
  <r>
    <s v="LN0042"/>
    <s v="CU1659"/>
    <n v="22"/>
    <s v="Male"/>
    <x v="0"/>
    <x v="0"/>
    <n v="54946"/>
    <n v="130066"/>
    <x v="3"/>
    <n v="23.37"/>
    <n v="23179.01"/>
    <x v="4"/>
    <x v="2"/>
    <x v="39"/>
    <s v="2024-04-14"/>
    <n v="358"/>
    <n v="562"/>
    <s v="No"/>
    <n v="0"/>
    <x v="17"/>
    <n v="0.248"/>
  </r>
  <r>
    <s v="LN0043"/>
    <s v="CU3749"/>
    <n v="28"/>
    <s v="Male"/>
    <x v="2"/>
    <x v="0"/>
    <n v="21731"/>
    <n v="492004"/>
    <x v="4"/>
    <n v="25.82"/>
    <n v="46958.13"/>
    <x v="1"/>
    <x v="3"/>
    <x v="40"/>
    <s v="2022-10-08"/>
    <n v="77"/>
    <n v="548"/>
    <s v="Yes"/>
    <n v="0"/>
    <x v="20"/>
    <n v="0.248"/>
  </r>
  <r>
    <s v="LN0044"/>
    <s v="CU2669"/>
    <n v="40"/>
    <s v="Male"/>
    <x v="1"/>
    <x v="0"/>
    <n v="106017"/>
    <n v="284311"/>
    <x v="2"/>
    <n v="27.88"/>
    <n v="19507.509999999998"/>
    <x v="4"/>
    <x v="1"/>
    <x v="41"/>
    <m/>
    <m/>
    <n v="730"/>
    <s v="Yes"/>
    <n v="192089.51"/>
    <x v="1"/>
    <n v="0.248"/>
  </r>
  <r>
    <s v="LN0045"/>
    <s v="CU2729"/>
    <n v="48"/>
    <s v="Female"/>
    <x v="4"/>
    <x v="0"/>
    <n v="129160"/>
    <n v="97346"/>
    <x v="1"/>
    <n v="35.17"/>
    <n v="5705.29"/>
    <x v="2"/>
    <x v="3"/>
    <x v="39"/>
    <s v="2023-12-01"/>
    <n v="223"/>
    <n v="574"/>
    <s v="Yes"/>
    <n v="0"/>
    <x v="17"/>
    <n v="0.248"/>
  </r>
  <r>
    <s v="LN0046"/>
    <s v="CU6280"/>
    <n v="36"/>
    <s v="Male"/>
    <x v="2"/>
    <x v="1"/>
    <n v="78927"/>
    <n v="398465"/>
    <x v="2"/>
    <n v="25.68"/>
    <n v="26906.73"/>
    <x v="1"/>
    <x v="1"/>
    <x v="42"/>
    <m/>
    <m/>
    <n v="806"/>
    <s v="Yes"/>
    <n v="277198.95"/>
    <x v="1"/>
    <n v="0.248"/>
  </r>
  <r>
    <s v="LN0047"/>
    <s v="CU3979"/>
    <n v="52"/>
    <s v="Male"/>
    <x v="2"/>
    <x v="1"/>
    <n v="104217"/>
    <n v="151621"/>
    <x v="1"/>
    <n v="28.83"/>
    <n v="8386.51"/>
    <x v="2"/>
    <x v="0"/>
    <x v="43"/>
    <m/>
    <m/>
    <n v="495"/>
    <s v="Yes"/>
    <n v="0"/>
    <x v="15"/>
    <n v="0.248"/>
  </r>
  <r>
    <s v="LN0048"/>
    <s v="CU7658"/>
    <n v="52"/>
    <s v="Male"/>
    <x v="4"/>
    <x v="1"/>
    <n v="132486"/>
    <n v="420725"/>
    <x v="0"/>
    <n v="14.23"/>
    <n v="143580.79999999999"/>
    <x v="3"/>
    <x v="3"/>
    <x v="44"/>
    <s v="2024-02-10"/>
    <n v="62"/>
    <n v="613"/>
    <s v="Yes"/>
    <n v="0"/>
    <x v="21"/>
    <n v="0.248"/>
  </r>
  <r>
    <s v="LN0049"/>
    <s v="CU7046"/>
    <n v="51"/>
    <s v="Female"/>
    <x v="4"/>
    <x v="1"/>
    <n v="107225"/>
    <n v="373498"/>
    <x v="2"/>
    <n v="18.5"/>
    <n v="23920.45"/>
    <x v="2"/>
    <x v="2"/>
    <x v="45"/>
    <s v="2024-05-11"/>
    <n v="738"/>
    <n v="497"/>
    <s v="No"/>
    <n v="0"/>
    <x v="11"/>
    <n v="0.248"/>
  </r>
  <r>
    <s v="LN0050"/>
    <s v="CU9779"/>
    <n v="32"/>
    <s v="Male"/>
    <x v="0"/>
    <x v="1"/>
    <n v="87482"/>
    <n v="384891"/>
    <x v="1"/>
    <n v="35.44"/>
    <n v="22612.720000000001"/>
    <x v="0"/>
    <x v="1"/>
    <x v="46"/>
    <m/>
    <m/>
    <n v="498"/>
    <s v="Yes"/>
    <n v="118304.92"/>
    <x v="13"/>
    <n v="0.248"/>
  </r>
  <r>
    <s v="LN0051"/>
    <s v="CU6912"/>
    <n v="32"/>
    <s v="Female"/>
    <x v="3"/>
    <x v="0"/>
    <n v="86909"/>
    <n v="28863"/>
    <x v="0"/>
    <n v="25.28"/>
    <n v="10029.18"/>
    <x v="3"/>
    <x v="3"/>
    <x v="47"/>
    <s v="2022-04-28"/>
    <n v="12"/>
    <n v="591"/>
    <s v="Yes"/>
    <n v="0"/>
    <x v="13"/>
    <n v="0.248"/>
  </r>
  <r>
    <s v="LN0052"/>
    <s v="CU8690"/>
    <n v="51"/>
    <s v="Female"/>
    <x v="2"/>
    <x v="0"/>
    <n v="28468"/>
    <n v="137371"/>
    <x v="2"/>
    <n v="14.74"/>
    <n v="8553.06"/>
    <x v="4"/>
    <x v="3"/>
    <x v="48"/>
    <s v="2023-06-25"/>
    <n v="37"/>
    <n v="354"/>
    <s v="Yes"/>
    <n v="0"/>
    <x v="22"/>
    <n v="0.248"/>
  </r>
  <r>
    <s v="LN0053"/>
    <s v="CU3485"/>
    <n v="30"/>
    <s v="Female"/>
    <x v="3"/>
    <x v="0"/>
    <n v="46051"/>
    <n v="297590"/>
    <x v="2"/>
    <n v="26.55"/>
    <n v="20222.669999999998"/>
    <x v="0"/>
    <x v="2"/>
    <x v="49"/>
    <s v="2023-12-31"/>
    <n v="194"/>
    <n v="761"/>
    <s v="No"/>
    <n v="0"/>
    <x v="15"/>
    <n v="0.248"/>
  </r>
  <r>
    <s v="LN0054"/>
    <s v="CU5871"/>
    <n v="48"/>
    <s v="Female"/>
    <x v="1"/>
    <x v="0"/>
    <n v="41013"/>
    <n v="404893"/>
    <x v="3"/>
    <n v="27.01"/>
    <n v="72896.94"/>
    <x v="2"/>
    <x v="0"/>
    <x v="50"/>
    <m/>
    <m/>
    <n v="545"/>
    <s v="No"/>
    <n v="0"/>
    <x v="7"/>
    <n v="0.248"/>
  </r>
  <r>
    <s v="LN0055"/>
    <s v="CU2229"/>
    <n v="31"/>
    <s v="Male"/>
    <x v="4"/>
    <x v="1"/>
    <n v="138184"/>
    <n v="157703"/>
    <x v="0"/>
    <n v="17.559999999999999"/>
    <n v="54113.599999999999"/>
    <x v="2"/>
    <x v="3"/>
    <x v="51"/>
    <s v="2024-02-15"/>
    <n v="703"/>
    <n v="539"/>
    <s v="Yes"/>
    <n v="0"/>
    <x v="3"/>
    <n v="0.248"/>
  </r>
  <r>
    <s v="LN0056"/>
    <s v="CU5334"/>
    <n v="33"/>
    <s v="Female"/>
    <x v="3"/>
    <x v="0"/>
    <n v="54056"/>
    <n v="481269"/>
    <x v="4"/>
    <n v="31.84"/>
    <n v="47354.19"/>
    <x v="4"/>
    <x v="0"/>
    <x v="52"/>
    <m/>
    <m/>
    <n v="614"/>
    <s v="No"/>
    <n v="0"/>
    <x v="7"/>
    <n v="0.248"/>
  </r>
  <r>
    <s v="LN0057"/>
    <s v="CU5728"/>
    <n v="49"/>
    <s v="Male"/>
    <x v="4"/>
    <x v="1"/>
    <n v="120515"/>
    <n v="499233"/>
    <x v="4"/>
    <n v="24.01"/>
    <n v="47209.69"/>
    <x v="1"/>
    <x v="3"/>
    <x v="53"/>
    <s v="2023-11-26"/>
    <n v="612"/>
    <n v="340"/>
    <s v="Yes"/>
    <n v="0"/>
    <x v="3"/>
    <n v="0.248"/>
  </r>
  <r>
    <s v="LN0058"/>
    <s v="CU8078"/>
    <n v="41"/>
    <s v="Female"/>
    <x v="3"/>
    <x v="0"/>
    <n v="75011"/>
    <n v="358526"/>
    <x v="1"/>
    <n v="26.09"/>
    <n v="19331.71"/>
    <x v="4"/>
    <x v="1"/>
    <x v="54"/>
    <m/>
    <m/>
    <n v="341"/>
    <s v="Yes"/>
    <n v="227368.69"/>
    <x v="0"/>
    <n v="0.248"/>
  </r>
  <r>
    <s v="LN0059"/>
    <s v="CU3870"/>
    <n v="51"/>
    <s v="Female"/>
    <x v="2"/>
    <x v="0"/>
    <n v="129264"/>
    <n v="337810"/>
    <x v="2"/>
    <n v="35.26"/>
    <n v="24433.85"/>
    <x v="1"/>
    <x v="1"/>
    <x v="55"/>
    <m/>
    <m/>
    <n v="641"/>
    <s v="Yes"/>
    <n v="109700.68"/>
    <x v="16"/>
    <n v="0.248"/>
  </r>
  <r>
    <s v="LN0060"/>
    <s v="CU2713"/>
    <n v="31"/>
    <s v="Female"/>
    <x v="4"/>
    <x v="1"/>
    <n v="90554"/>
    <n v="352384"/>
    <x v="2"/>
    <n v="31.53"/>
    <n v="24821.32"/>
    <x v="0"/>
    <x v="0"/>
    <x v="56"/>
    <m/>
    <m/>
    <n v="390"/>
    <s v="No"/>
    <n v="0"/>
    <x v="17"/>
    <n v="0.248"/>
  </r>
  <r>
    <s v="LN0061"/>
    <s v="CU6296"/>
    <n v="28"/>
    <s v="Female"/>
    <x v="1"/>
    <x v="0"/>
    <n v="136104"/>
    <n v="221660"/>
    <x v="0"/>
    <n v="16.5"/>
    <n v="75927.8"/>
    <x v="2"/>
    <x v="3"/>
    <x v="57"/>
    <s v="2024-05-16"/>
    <n v="226"/>
    <n v="352"/>
    <s v="Yes"/>
    <n v="0"/>
    <x v="18"/>
    <n v="0.248"/>
  </r>
  <r>
    <s v="LN0062"/>
    <s v="CU4335"/>
    <n v="38"/>
    <s v="Male"/>
    <x v="2"/>
    <x v="1"/>
    <n v="142064"/>
    <n v="68662"/>
    <x v="0"/>
    <n v="35.36"/>
    <n v="24249.22"/>
    <x v="0"/>
    <x v="2"/>
    <x v="58"/>
    <s v="2024-02-06"/>
    <n v="40"/>
    <n v="618"/>
    <s v="No"/>
    <n v="0"/>
    <x v="21"/>
    <n v="0.248"/>
  </r>
  <r>
    <s v="LN0063"/>
    <s v="CU7684"/>
    <n v="26"/>
    <s v="Male"/>
    <x v="3"/>
    <x v="1"/>
    <n v="45793"/>
    <n v="344586"/>
    <x v="3"/>
    <n v="23.96"/>
    <n v="61510.58"/>
    <x v="2"/>
    <x v="1"/>
    <x v="59"/>
    <m/>
    <m/>
    <n v="794"/>
    <s v="Yes"/>
    <n v="270903.59999999998"/>
    <x v="10"/>
    <n v="0.248"/>
  </r>
  <r>
    <s v="LN0064"/>
    <s v="CU4993"/>
    <n v="50"/>
    <s v="Male"/>
    <x v="4"/>
    <x v="0"/>
    <n v="148232"/>
    <n v="396272"/>
    <x v="3"/>
    <n v="32.74"/>
    <n v="72493.52"/>
    <x v="2"/>
    <x v="3"/>
    <x v="60"/>
    <s v="2024-05-17"/>
    <n v="519"/>
    <n v="573"/>
    <s v="Yes"/>
    <n v="0"/>
    <x v="19"/>
    <n v="0.248"/>
  </r>
  <r>
    <s v="LN0065"/>
    <s v="CU1042"/>
    <n v="39"/>
    <s v="Female"/>
    <x v="1"/>
    <x v="1"/>
    <n v="53953"/>
    <n v="239119"/>
    <x v="1"/>
    <n v="23.62"/>
    <n v="12597.18"/>
    <x v="2"/>
    <x v="3"/>
    <x v="31"/>
    <s v="2023-09-23"/>
    <n v="164"/>
    <n v="493"/>
    <s v="Yes"/>
    <n v="0"/>
    <x v="17"/>
    <n v="0.248"/>
  </r>
  <r>
    <s v="LN0066"/>
    <s v="CU4912"/>
    <n v="45"/>
    <s v="Male"/>
    <x v="4"/>
    <x v="0"/>
    <n v="98408"/>
    <n v="395439"/>
    <x v="2"/>
    <n v="28.93"/>
    <n v="27338.91"/>
    <x v="1"/>
    <x v="3"/>
    <x v="61"/>
    <s v="2024-05-31"/>
    <n v="202"/>
    <n v="455"/>
    <s v="Yes"/>
    <n v="0"/>
    <x v="12"/>
    <n v="0.248"/>
  </r>
  <r>
    <s v="LN0067"/>
    <s v="CU9115"/>
    <n v="23"/>
    <s v="Male"/>
    <x v="1"/>
    <x v="1"/>
    <n v="41309"/>
    <n v="463327"/>
    <x v="2"/>
    <n v="14.39"/>
    <n v="28771.72"/>
    <x v="1"/>
    <x v="0"/>
    <x v="62"/>
    <m/>
    <m/>
    <n v="719"/>
    <s v="No"/>
    <n v="0"/>
    <x v="11"/>
    <n v="0.248"/>
  </r>
  <r>
    <s v="LN0068"/>
    <s v="CU3529"/>
    <n v="25"/>
    <s v="Female"/>
    <x v="2"/>
    <x v="1"/>
    <n v="119197"/>
    <n v="345701"/>
    <x v="0"/>
    <n v="32.44"/>
    <n v="121519.36"/>
    <x v="0"/>
    <x v="3"/>
    <x v="63"/>
    <s v="2024-04-03"/>
    <n v="499"/>
    <n v="336"/>
    <s v="Yes"/>
    <n v="0"/>
    <x v="8"/>
    <n v="0.248"/>
  </r>
  <r>
    <s v="LN0069"/>
    <s v="CU2121"/>
    <n v="36"/>
    <s v="Female"/>
    <x v="0"/>
    <x v="0"/>
    <n v="128763"/>
    <n v="56612"/>
    <x v="0"/>
    <n v="22.65"/>
    <n v="19587.47"/>
    <x v="2"/>
    <x v="0"/>
    <x v="64"/>
    <m/>
    <m/>
    <n v="632"/>
    <s v="No"/>
    <n v="0"/>
    <x v="2"/>
    <n v="0.248"/>
  </r>
  <r>
    <s v="LN0070"/>
    <s v="CU5806"/>
    <n v="43"/>
    <s v="Female"/>
    <x v="4"/>
    <x v="0"/>
    <n v="79014"/>
    <n v="283484"/>
    <x v="2"/>
    <n v="25.58"/>
    <n v="19128.580000000002"/>
    <x v="3"/>
    <x v="2"/>
    <x v="65"/>
    <s v="2022-09-17"/>
    <n v="80"/>
    <n v="691"/>
    <s v="No"/>
    <n v="0"/>
    <x v="7"/>
    <n v="0.248"/>
  </r>
  <r>
    <s v="LN0071"/>
    <s v="CU4945"/>
    <n v="52"/>
    <s v="Male"/>
    <x v="0"/>
    <x v="1"/>
    <n v="81578"/>
    <n v="245947"/>
    <x v="4"/>
    <n v="28"/>
    <n v="23735.360000000001"/>
    <x v="1"/>
    <x v="1"/>
    <x v="66"/>
    <m/>
    <m/>
    <n v="461"/>
    <s v="Yes"/>
    <n v="37310.980000000003"/>
    <x v="12"/>
    <n v="0.248"/>
  </r>
  <r>
    <s v="LN0072"/>
    <s v="CU6661"/>
    <n v="40"/>
    <s v="Female"/>
    <x v="2"/>
    <x v="1"/>
    <n v="94199"/>
    <n v="109447"/>
    <x v="2"/>
    <n v="32.479999999999997"/>
    <n v="7761.71"/>
    <x v="4"/>
    <x v="2"/>
    <x v="67"/>
    <s v="2024-01-28"/>
    <n v="367"/>
    <n v="602"/>
    <s v="No"/>
    <n v="0"/>
    <x v="5"/>
    <n v="0.248"/>
  </r>
  <r>
    <s v="LN0073"/>
    <s v="CU5837"/>
    <n v="22"/>
    <s v="Female"/>
    <x v="2"/>
    <x v="0"/>
    <n v="27856"/>
    <n v="482425"/>
    <x v="1"/>
    <n v="29.88"/>
    <n v="26943.95"/>
    <x v="2"/>
    <x v="2"/>
    <x v="68"/>
    <s v="2024-03-12"/>
    <n v="180"/>
    <n v="524"/>
    <s v="No"/>
    <n v="0"/>
    <x v="23"/>
    <n v="0.248"/>
  </r>
  <r>
    <s v="LN0074"/>
    <s v="CU5106"/>
    <n v="29"/>
    <s v="Male"/>
    <x v="3"/>
    <x v="1"/>
    <n v="130559"/>
    <n v="22492"/>
    <x v="1"/>
    <n v="20.76"/>
    <n v="1153.1199999999999"/>
    <x v="3"/>
    <x v="0"/>
    <x v="69"/>
    <m/>
    <m/>
    <n v="634"/>
    <s v="No"/>
    <n v="0"/>
    <x v="6"/>
    <n v="0.248"/>
  </r>
  <r>
    <s v="LN0075"/>
    <s v="CU3877"/>
    <n v="33"/>
    <s v="Male"/>
    <x v="1"/>
    <x v="1"/>
    <n v="146542"/>
    <n v="483930"/>
    <x v="4"/>
    <n v="31.93"/>
    <n v="47637.55"/>
    <x v="2"/>
    <x v="3"/>
    <x v="69"/>
    <s v="2023-10-11"/>
    <n v="346"/>
    <n v="417"/>
    <s v="Yes"/>
    <n v="0"/>
    <x v="6"/>
    <n v="0.248"/>
  </r>
  <r>
    <s v="LN0076"/>
    <s v="CU8673"/>
    <n v="25"/>
    <s v="Male"/>
    <x v="0"/>
    <x v="1"/>
    <n v="110885"/>
    <n v="52344"/>
    <x v="2"/>
    <n v="12.33"/>
    <n v="3200.07"/>
    <x v="0"/>
    <x v="0"/>
    <x v="56"/>
    <m/>
    <m/>
    <n v="677"/>
    <s v="No"/>
    <n v="0"/>
    <x v="17"/>
    <n v="0.248"/>
  </r>
  <r>
    <s v="LN0077"/>
    <s v="CU5295"/>
    <n v="45"/>
    <s v="Female"/>
    <x v="3"/>
    <x v="0"/>
    <n v="138594"/>
    <n v="18120"/>
    <x v="1"/>
    <n v="33.22"/>
    <n v="1043.42"/>
    <x v="0"/>
    <x v="1"/>
    <x v="70"/>
    <m/>
    <m/>
    <n v="526"/>
    <s v="Yes"/>
    <n v="10026.82"/>
    <x v="23"/>
    <n v="0.248"/>
  </r>
  <r>
    <s v="LN0078"/>
    <s v="CU8606"/>
    <n v="40"/>
    <s v="Female"/>
    <x v="3"/>
    <x v="0"/>
    <n v="26887"/>
    <n v="24509"/>
    <x v="4"/>
    <n v="35.9"/>
    <n v="2461"/>
    <x v="4"/>
    <x v="0"/>
    <x v="71"/>
    <m/>
    <m/>
    <n v="850"/>
    <s v="Yes"/>
    <n v="0"/>
    <x v="14"/>
    <n v="0.248"/>
  </r>
  <r>
    <s v="LN0079"/>
    <s v="CU8432"/>
    <n v="44"/>
    <s v="Female"/>
    <x v="1"/>
    <x v="0"/>
    <n v="123759"/>
    <n v="348367"/>
    <x v="0"/>
    <n v="32.01"/>
    <n v="122371.82"/>
    <x v="0"/>
    <x v="3"/>
    <x v="72"/>
    <s v="2022-11-16"/>
    <n v="33"/>
    <n v="679"/>
    <s v="Yes"/>
    <n v="0"/>
    <x v="6"/>
    <n v="0.248"/>
  </r>
  <r>
    <s v="LN0080"/>
    <s v="CU4559"/>
    <n v="49"/>
    <s v="Female"/>
    <x v="0"/>
    <x v="1"/>
    <n v="41045"/>
    <n v="364493"/>
    <x v="4"/>
    <n v="25.07"/>
    <n v="34655.33"/>
    <x v="2"/>
    <x v="0"/>
    <x v="73"/>
    <m/>
    <m/>
    <n v="582"/>
    <s v="No"/>
    <n v="0"/>
    <x v="16"/>
    <n v="0.248"/>
  </r>
  <r>
    <s v="LN0081"/>
    <s v="CU3001"/>
    <n v="50"/>
    <s v="Male"/>
    <x v="0"/>
    <x v="0"/>
    <n v="28258"/>
    <n v="417506"/>
    <x v="4"/>
    <n v="17.850000000000001"/>
    <n v="38247.15"/>
    <x v="3"/>
    <x v="2"/>
    <x v="20"/>
    <s v="2024-05-03"/>
    <n v="783"/>
    <n v="512"/>
    <s v="No"/>
    <n v="0"/>
    <x v="3"/>
    <n v="0.248"/>
  </r>
  <r>
    <s v="LN0082"/>
    <s v="CU4817"/>
    <n v="42"/>
    <s v="Male"/>
    <x v="1"/>
    <x v="0"/>
    <n v="87685"/>
    <n v="455052"/>
    <x v="3"/>
    <n v="35.700000000000003"/>
    <n v="83931.87"/>
    <x v="0"/>
    <x v="1"/>
    <x v="74"/>
    <m/>
    <m/>
    <n v="412"/>
    <s v="Yes"/>
    <n v="256076.12"/>
    <x v="7"/>
    <n v="0.248"/>
  </r>
  <r>
    <s v="LN0083"/>
    <s v="CU1422"/>
    <n v="29"/>
    <s v="Male"/>
    <x v="2"/>
    <x v="0"/>
    <n v="99874"/>
    <n v="13273"/>
    <x v="3"/>
    <n v="18.37"/>
    <n v="2332.19"/>
    <x v="3"/>
    <x v="3"/>
    <x v="75"/>
    <s v="2023-08-20"/>
    <n v="58"/>
    <n v="365"/>
    <s v="Yes"/>
    <n v="0"/>
    <x v="15"/>
    <n v="0.248"/>
  </r>
  <r>
    <s v="LN0084"/>
    <s v="CU8802"/>
    <n v="49"/>
    <s v="Female"/>
    <x v="1"/>
    <x v="0"/>
    <n v="133490"/>
    <n v="269156"/>
    <x v="3"/>
    <n v="34.69"/>
    <n v="49505.9"/>
    <x v="4"/>
    <x v="1"/>
    <x v="76"/>
    <m/>
    <m/>
    <n v="331"/>
    <s v="Yes"/>
    <n v="38375.67"/>
    <x v="17"/>
    <n v="0.248"/>
  </r>
  <r>
    <s v="LN0085"/>
    <s v="CU8847"/>
    <n v="46"/>
    <s v="Female"/>
    <x v="3"/>
    <x v="1"/>
    <n v="131277"/>
    <n v="43530"/>
    <x v="0"/>
    <n v="19.73"/>
    <n v="14989.73"/>
    <x v="3"/>
    <x v="0"/>
    <x v="77"/>
    <m/>
    <m/>
    <n v="581"/>
    <s v="No"/>
    <n v="0"/>
    <x v="11"/>
    <n v="0.248"/>
  </r>
  <r>
    <s v="LN0086"/>
    <s v="CU9984"/>
    <n v="41"/>
    <s v="Female"/>
    <x v="1"/>
    <x v="1"/>
    <n v="133938"/>
    <n v="270054"/>
    <x v="1"/>
    <n v="22.32"/>
    <n v="14052.62"/>
    <x v="4"/>
    <x v="2"/>
    <x v="78"/>
    <s v="2023-11-03"/>
    <n v="231"/>
    <n v="533"/>
    <s v="No"/>
    <n v="0"/>
    <x v="10"/>
    <n v="0.248"/>
  </r>
  <r>
    <s v="LN0087"/>
    <s v="CU8430"/>
    <n v="46"/>
    <s v="Female"/>
    <x v="3"/>
    <x v="1"/>
    <n v="126873"/>
    <n v="168852"/>
    <x v="4"/>
    <n v="20.98"/>
    <n v="15720.83"/>
    <x v="3"/>
    <x v="3"/>
    <x v="79"/>
    <s v="2022-06-11"/>
    <n v="93"/>
    <n v="387"/>
    <s v="Yes"/>
    <n v="0"/>
    <x v="3"/>
    <n v="0.248"/>
  </r>
  <r>
    <s v="LN0088"/>
    <s v="CU2527"/>
    <n v="48"/>
    <s v="Male"/>
    <x v="2"/>
    <x v="0"/>
    <n v="30723"/>
    <n v="312476"/>
    <x v="1"/>
    <n v="25.48"/>
    <n v="16752.669999999998"/>
    <x v="4"/>
    <x v="3"/>
    <x v="80"/>
    <s v="2024-03-06"/>
    <n v="433"/>
    <n v="352"/>
    <s v="Yes"/>
    <n v="0"/>
    <x v="19"/>
    <n v="0.248"/>
  </r>
  <r>
    <s v="LN0089"/>
    <s v="CU5712"/>
    <n v="40"/>
    <s v="Female"/>
    <x v="3"/>
    <x v="0"/>
    <n v="55561"/>
    <n v="349318"/>
    <x v="2"/>
    <n v="17.38"/>
    <n v="22185.4"/>
    <x v="4"/>
    <x v="1"/>
    <x v="81"/>
    <m/>
    <m/>
    <n v="676"/>
    <s v="Yes"/>
    <n v="63023.86"/>
    <x v="4"/>
    <n v="0.248"/>
  </r>
  <r>
    <s v="LN0090"/>
    <s v="CU5564"/>
    <n v="35"/>
    <s v="Female"/>
    <x v="1"/>
    <x v="0"/>
    <n v="85109"/>
    <n v="20179"/>
    <x v="3"/>
    <n v="18.559999999999999"/>
    <n v="3547.55"/>
    <x v="2"/>
    <x v="1"/>
    <x v="82"/>
    <m/>
    <m/>
    <n v="306"/>
    <s v="Yes"/>
    <n v="4580.3100000000004"/>
    <x v="19"/>
    <n v="0.248"/>
  </r>
  <r>
    <s v="LN0091"/>
    <s v="CU3347"/>
    <n v="46"/>
    <s v="Male"/>
    <x v="0"/>
    <x v="0"/>
    <n v="39053"/>
    <n v="396177"/>
    <x v="1"/>
    <n v="17.16"/>
    <n v="19618.36"/>
    <x v="1"/>
    <x v="3"/>
    <x v="83"/>
    <s v="2023-05-26"/>
    <n v="161"/>
    <n v="678"/>
    <s v="Yes"/>
    <n v="0"/>
    <x v="19"/>
    <n v="0.248"/>
  </r>
  <r>
    <s v="LN0092"/>
    <s v="CU6105"/>
    <n v="41"/>
    <s v="Male"/>
    <x v="3"/>
    <x v="0"/>
    <n v="56264"/>
    <n v="400541"/>
    <x v="1"/>
    <n v="13.19"/>
    <n v="19078.21"/>
    <x v="4"/>
    <x v="1"/>
    <x v="15"/>
    <m/>
    <m/>
    <n v="734"/>
    <s v="Yes"/>
    <n v="176223.3"/>
    <x v="10"/>
    <n v="0.248"/>
  </r>
  <r>
    <s v="LN0093"/>
    <s v="CU8242"/>
    <n v="47"/>
    <s v="Female"/>
    <x v="0"/>
    <x v="0"/>
    <n v="105484"/>
    <n v="230398"/>
    <x v="0"/>
    <n v="18.8"/>
    <n v="79218.179999999993"/>
    <x v="0"/>
    <x v="3"/>
    <x v="84"/>
    <s v="2024-05-30"/>
    <n v="341"/>
    <n v="615"/>
    <s v="Yes"/>
    <n v="0"/>
    <x v="15"/>
    <n v="0.248"/>
  </r>
  <r>
    <s v="LN0094"/>
    <s v="CU1744"/>
    <n v="35"/>
    <s v="Female"/>
    <x v="1"/>
    <x v="0"/>
    <n v="17015"/>
    <n v="112176"/>
    <x v="4"/>
    <n v="34.69"/>
    <n v="11196.12"/>
    <x v="3"/>
    <x v="1"/>
    <x v="85"/>
    <m/>
    <m/>
    <n v="635"/>
    <s v="Yes"/>
    <n v="20639.150000000001"/>
    <x v="6"/>
    <n v="0.248"/>
  </r>
  <r>
    <s v="LN0095"/>
    <s v="CU9149"/>
    <n v="48"/>
    <s v="Male"/>
    <x v="0"/>
    <x v="1"/>
    <n v="75322"/>
    <n v="267281"/>
    <x v="1"/>
    <n v="32"/>
    <n v="15220.98"/>
    <x v="2"/>
    <x v="0"/>
    <x v="86"/>
    <m/>
    <m/>
    <n v="343"/>
    <s v="No"/>
    <n v="0"/>
    <x v="16"/>
    <n v="0.248"/>
  </r>
  <r>
    <s v="LN0096"/>
    <s v="CU8532"/>
    <n v="25"/>
    <s v="Female"/>
    <x v="1"/>
    <x v="1"/>
    <n v="121017"/>
    <n v="376981"/>
    <x v="2"/>
    <n v="18.95"/>
    <n v="24224.63"/>
    <x v="1"/>
    <x v="0"/>
    <x v="87"/>
    <m/>
    <m/>
    <n v="475"/>
    <s v="No"/>
    <n v="0"/>
    <x v="8"/>
    <n v="0.248"/>
  </r>
  <r>
    <s v="LN0097"/>
    <s v="CU8538"/>
    <n v="44"/>
    <s v="Male"/>
    <x v="4"/>
    <x v="0"/>
    <n v="78783"/>
    <n v="233419"/>
    <x v="1"/>
    <n v="21.61"/>
    <n v="12064.44"/>
    <x v="4"/>
    <x v="3"/>
    <x v="88"/>
    <s v="2023-10-27"/>
    <n v="347"/>
    <n v="526"/>
    <s v="Yes"/>
    <n v="0"/>
    <x v="8"/>
    <n v="0.248"/>
  </r>
  <r>
    <s v="LN0098"/>
    <s v="CU6456"/>
    <n v="31"/>
    <s v="Male"/>
    <x v="1"/>
    <x v="0"/>
    <n v="148680"/>
    <n v="106661"/>
    <x v="4"/>
    <n v="20.43"/>
    <n v="9902.4500000000007"/>
    <x v="3"/>
    <x v="2"/>
    <x v="47"/>
    <s v="2022-09-12"/>
    <n v="149"/>
    <n v="562"/>
    <s v="No"/>
    <n v="0"/>
    <x v="13"/>
    <n v="0.248"/>
  </r>
  <r>
    <s v="LN0099"/>
    <s v="CU3504"/>
    <n v="25"/>
    <s v="Male"/>
    <x v="4"/>
    <x v="1"/>
    <n v="132677"/>
    <n v="362110"/>
    <x v="1"/>
    <n v="27.43"/>
    <n v="19770.650000000001"/>
    <x v="0"/>
    <x v="1"/>
    <x v="89"/>
    <m/>
    <m/>
    <n v="623"/>
    <s v="Yes"/>
    <n v="74475.23"/>
    <x v="18"/>
    <n v="0.248"/>
  </r>
  <r>
    <s v="LN0100"/>
    <s v="CU2118"/>
    <n v="51"/>
    <s v="Female"/>
    <x v="2"/>
    <x v="1"/>
    <n v="29725"/>
    <n v="189519"/>
    <x v="1"/>
    <n v="13.78"/>
    <n v="9079.67"/>
    <x v="1"/>
    <x v="3"/>
    <x v="90"/>
    <s v="2022-04-07"/>
    <n v="58"/>
    <n v="677"/>
    <s v="Yes"/>
    <n v="0"/>
    <x v="2"/>
    <n v="0.248"/>
  </r>
  <r>
    <s v="LN0101"/>
    <s v="CU5703"/>
    <n v="25"/>
    <s v="Male"/>
    <x v="1"/>
    <x v="1"/>
    <n v="136297"/>
    <n v="309259"/>
    <x v="1"/>
    <n v="34.9"/>
    <n v="18081.099999999999"/>
    <x v="4"/>
    <x v="3"/>
    <x v="91"/>
    <s v="2023-11-13"/>
    <n v="96"/>
    <n v="629"/>
    <s v="Yes"/>
    <n v="0"/>
    <x v="0"/>
    <n v="0.248"/>
  </r>
  <r>
    <s v="LN0102"/>
    <s v="CU8792"/>
    <n v="53"/>
    <s v="Male"/>
    <x v="3"/>
    <x v="1"/>
    <n v="42132"/>
    <n v="430180"/>
    <x v="4"/>
    <n v="35.58"/>
    <n v="43126.54"/>
    <x v="4"/>
    <x v="2"/>
    <x v="92"/>
    <s v="2022-10-21"/>
    <n v="253"/>
    <n v="748"/>
    <s v="No"/>
    <n v="0"/>
    <x v="2"/>
    <n v="0.248"/>
  </r>
  <r>
    <s v="LN0103"/>
    <s v="CU9586"/>
    <n v="54"/>
    <s v="Male"/>
    <x v="2"/>
    <x v="1"/>
    <n v="89158"/>
    <n v="208117"/>
    <x v="2"/>
    <n v="30.59"/>
    <n v="14561.06"/>
    <x v="0"/>
    <x v="0"/>
    <x v="93"/>
    <m/>
    <m/>
    <n v="642"/>
    <s v="Yes"/>
    <n v="0"/>
    <x v="18"/>
    <n v="0.248"/>
  </r>
  <r>
    <s v="LN0104"/>
    <s v="CU2548"/>
    <n v="45"/>
    <s v="Female"/>
    <x v="2"/>
    <x v="0"/>
    <n v="102388"/>
    <n v="47730"/>
    <x v="1"/>
    <n v="27.93"/>
    <n v="2618.13"/>
    <x v="2"/>
    <x v="1"/>
    <x v="94"/>
    <m/>
    <m/>
    <n v="701"/>
    <s v="Yes"/>
    <n v="9081.4"/>
    <x v="12"/>
    <n v="0.248"/>
  </r>
  <r>
    <s v="LN0105"/>
    <s v="CU2388"/>
    <n v="40"/>
    <s v="Female"/>
    <x v="2"/>
    <x v="0"/>
    <n v="39498"/>
    <n v="343703"/>
    <x v="2"/>
    <n v="24.2"/>
    <n v="22959.32"/>
    <x v="4"/>
    <x v="1"/>
    <x v="95"/>
    <m/>
    <m/>
    <n v="484"/>
    <s v="Yes"/>
    <n v="263214.12"/>
    <x v="8"/>
    <n v="0.248"/>
  </r>
  <r>
    <s v="LN0106"/>
    <s v="CU6598"/>
    <n v="52"/>
    <s v="Male"/>
    <x v="0"/>
    <x v="0"/>
    <n v="55617"/>
    <n v="45456"/>
    <x v="4"/>
    <n v="32.270000000000003"/>
    <n v="4482.28"/>
    <x v="4"/>
    <x v="0"/>
    <x v="96"/>
    <m/>
    <m/>
    <n v="644"/>
    <s v="No"/>
    <n v="0"/>
    <x v="12"/>
    <n v="0.248"/>
  </r>
  <r>
    <s v="LN0107"/>
    <s v="CU3147"/>
    <n v="45"/>
    <s v="Male"/>
    <x v="0"/>
    <x v="0"/>
    <n v="58395"/>
    <n v="383107"/>
    <x v="2"/>
    <n v="13.05"/>
    <n v="23549.94"/>
    <x v="2"/>
    <x v="2"/>
    <x v="97"/>
    <s v="2024-02-06"/>
    <n v="312"/>
    <n v="591"/>
    <s v="No"/>
    <n v="0"/>
    <x v="10"/>
    <n v="0.248"/>
  </r>
  <r>
    <s v="LN0108"/>
    <s v="CU8355"/>
    <n v="35"/>
    <s v="Male"/>
    <x v="2"/>
    <x v="1"/>
    <n v="65860"/>
    <n v="197854"/>
    <x v="1"/>
    <n v="35.630000000000003"/>
    <n v="11644"/>
    <x v="1"/>
    <x v="1"/>
    <x v="98"/>
    <m/>
    <m/>
    <n v="814"/>
    <s v="Yes"/>
    <n v="92837.42"/>
    <x v="5"/>
    <n v="0.248"/>
  </r>
  <r>
    <s v="LN0109"/>
    <s v="CU3655"/>
    <n v="33"/>
    <s v="Male"/>
    <x v="2"/>
    <x v="0"/>
    <n v="140983"/>
    <n v="463289"/>
    <x v="4"/>
    <n v="25.31"/>
    <n v="44102.66"/>
    <x v="4"/>
    <x v="0"/>
    <x v="99"/>
    <m/>
    <m/>
    <n v="385"/>
    <s v="No"/>
    <n v="0"/>
    <x v="6"/>
    <n v="0.248"/>
  </r>
  <r>
    <s v="LN0110"/>
    <s v="CU5469"/>
    <n v="49"/>
    <s v="Male"/>
    <x v="4"/>
    <x v="0"/>
    <n v="73205"/>
    <n v="433187"/>
    <x v="2"/>
    <n v="33.229999999999997"/>
    <n v="30885"/>
    <x v="4"/>
    <x v="3"/>
    <x v="100"/>
    <s v="2023-04-05"/>
    <n v="405"/>
    <n v="814"/>
    <s v="Yes"/>
    <n v="0"/>
    <x v="2"/>
    <n v="0.248"/>
  </r>
  <r>
    <s v="LN0111"/>
    <s v="CU7126"/>
    <n v="36"/>
    <s v="Female"/>
    <x v="3"/>
    <x v="1"/>
    <n v="73861"/>
    <n v="19778"/>
    <x v="4"/>
    <n v="34.340000000000003"/>
    <n v="1970.57"/>
    <x v="2"/>
    <x v="2"/>
    <x v="101"/>
    <s v="2022-06-29"/>
    <n v="39"/>
    <n v="593"/>
    <s v="No"/>
    <n v="0"/>
    <x v="11"/>
    <n v="0.248"/>
  </r>
  <r>
    <s v="LN0112"/>
    <s v="CU8740"/>
    <n v="29"/>
    <s v="Female"/>
    <x v="4"/>
    <x v="0"/>
    <n v="35768"/>
    <n v="14963"/>
    <x v="4"/>
    <n v="17.18"/>
    <n v="1365.98"/>
    <x v="3"/>
    <x v="3"/>
    <x v="102"/>
    <s v="2024-06-26"/>
    <n v="794"/>
    <n v="595"/>
    <s v="Yes"/>
    <n v="0"/>
    <x v="13"/>
    <n v="0.248"/>
  </r>
  <r>
    <s v="LN0113"/>
    <s v="CU4893"/>
    <n v="40"/>
    <s v="Male"/>
    <x v="3"/>
    <x v="0"/>
    <n v="125054"/>
    <n v="339994"/>
    <x v="1"/>
    <n v="22.97"/>
    <n v="17801.55"/>
    <x v="4"/>
    <x v="3"/>
    <x v="103"/>
    <s v="2024-06-04"/>
    <n v="274"/>
    <n v="316"/>
    <s v="Yes"/>
    <n v="0"/>
    <x v="23"/>
    <n v="0.248"/>
  </r>
  <r>
    <s v="LN0114"/>
    <s v="CU9443"/>
    <n v="36"/>
    <s v="Male"/>
    <x v="2"/>
    <x v="1"/>
    <n v="15410"/>
    <n v="327337"/>
    <x v="4"/>
    <n v="17.77"/>
    <n v="29974.44"/>
    <x v="1"/>
    <x v="2"/>
    <x v="104"/>
    <s v="2024-05-01"/>
    <n v="171"/>
    <n v="387"/>
    <s v="No"/>
    <n v="0"/>
    <x v="12"/>
    <n v="0.248"/>
  </r>
  <r>
    <s v="LN0115"/>
    <s v="CU6908"/>
    <n v="25"/>
    <s v="Male"/>
    <x v="4"/>
    <x v="1"/>
    <n v="26412"/>
    <n v="338274"/>
    <x v="2"/>
    <n v="35.54"/>
    <n v="24515.82"/>
    <x v="2"/>
    <x v="0"/>
    <x v="105"/>
    <m/>
    <m/>
    <n v="369"/>
    <s v="No"/>
    <n v="0"/>
    <x v="5"/>
    <n v="0.248"/>
  </r>
  <r>
    <s v="LN0116"/>
    <s v="CU2698"/>
    <n v="42"/>
    <s v="Male"/>
    <x v="3"/>
    <x v="1"/>
    <n v="103748"/>
    <n v="431512"/>
    <x v="3"/>
    <n v="31.93"/>
    <n v="78762.899999999994"/>
    <x v="1"/>
    <x v="3"/>
    <x v="93"/>
    <s v="2024-01-10"/>
    <n v="93"/>
    <n v="438"/>
    <s v="Yes"/>
    <n v="0"/>
    <x v="18"/>
    <n v="0.248"/>
  </r>
  <r>
    <s v="LN0117"/>
    <s v="CU2033"/>
    <n v="50"/>
    <s v="Male"/>
    <x v="2"/>
    <x v="0"/>
    <n v="26483"/>
    <n v="419769"/>
    <x v="3"/>
    <n v="33.26"/>
    <n v="76902.899999999994"/>
    <x v="2"/>
    <x v="1"/>
    <x v="106"/>
    <m/>
    <m/>
    <n v="707"/>
    <s v="Yes"/>
    <n v="332619.03000000003"/>
    <x v="15"/>
    <n v="0.248"/>
  </r>
  <r>
    <s v="LN0118"/>
    <s v="CU9897"/>
    <n v="51"/>
    <s v="Female"/>
    <x v="3"/>
    <x v="0"/>
    <n v="90002"/>
    <n v="192157"/>
    <x v="0"/>
    <n v="32.78"/>
    <n v="67583.16"/>
    <x v="2"/>
    <x v="1"/>
    <x v="107"/>
    <m/>
    <m/>
    <n v="676"/>
    <s v="Yes"/>
    <n v="77989.990000000005"/>
    <x v="11"/>
    <n v="0.248"/>
  </r>
  <r>
    <s v="LN0119"/>
    <s v="CU7553"/>
    <n v="49"/>
    <s v="Female"/>
    <x v="2"/>
    <x v="0"/>
    <n v="145076"/>
    <n v="367843"/>
    <x v="2"/>
    <n v="20.82"/>
    <n v="23967.94"/>
    <x v="0"/>
    <x v="1"/>
    <x v="108"/>
    <m/>
    <m/>
    <n v="734"/>
    <s v="Yes"/>
    <n v="57107.22"/>
    <x v="3"/>
    <n v="0.248"/>
  </r>
  <r>
    <s v="LN0120"/>
    <s v="CU3956"/>
    <n v="55"/>
    <s v="Female"/>
    <x v="2"/>
    <x v="0"/>
    <n v="35989"/>
    <n v="176924"/>
    <x v="4"/>
    <n v="19.36"/>
    <n v="16335.12"/>
    <x v="0"/>
    <x v="3"/>
    <x v="109"/>
    <s v="2024-05-26"/>
    <n v="706"/>
    <n v="754"/>
    <s v="Yes"/>
    <n v="0"/>
    <x v="7"/>
    <n v="0.248"/>
  </r>
  <r>
    <s v="LN0121"/>
    <s v="CU6759"/>
    <n v="49"/>
    <s v="Male"/>
    <x v="2"/>
    <x v="1"/>
    <n v="86973"/>
    <n v="340266"/>
    <x v="0"/>
    <n v="13.8"/>
    <n v="116040.65"/>
    <x v="1"/>
    <x v="1"/>
    <x v="110"/>
    <m/>
    <m/>
    <n v="463"/>
    <s v="Yes"/>
    <n v="260967.89"/>
    <x v="15"/>
    <n v="0.248"/>
  </r>
  <r>
    <s v="LN0122"/>
    <s v="CU3339"/>
    <n v="49"/>
    <s v="Male"/>
    <x v="0"/>
    <x v="0"/>
    <n v="76864"/>
    <n v="413166"/>
    <x v="4"/>
    <n v="20.69"/>
    <n v="38410"/>
    <x v="0"/>
    <x v="0"/>
    <x v="111"/>
    <m/>
    <m/>
    <n v="457"/>
    <s v="No"/>
    <n v="0"/>
    <x v="23"/>
    <n v="0.248"/>
  </r>
  <r>
    <s v="LN0123"/>
    <s v="CU7077"/>
    <n v="44"/>
    <s v="Female"/>
    <x v="3"/>
    <x v="0"/>
    <n v="111193"/>
    <n v="213684"/>
    <x v="4"/>
    <n v="27.59"/>
    <n v="20578.95"/>
    <x v="3"/>
    <x v="0"/>
    <x v="112"/>
    <m/>
    <m/>
    <n v="490"/>
    <s v="No"/>
    <n v="0"/>
    <x v="1"/>
    <n v="0.248"/>
  </r>
  <r>
    <s v="LN0124"/>
    <s v="CU7340"/>
    <n v="28"/>
    <s v="Female"/>
    <x v="2"/>
    <x v="1"/>
    <n v="71248"/>
    <n v="325799"/>
    <x v="4"/>
    <n v="28.66"/>
    <n v="31546.85"/>
    <x v="1"/>
    <x v="2"/>
    <x v="113"/>
    <s v="2022-09-21"/>
    <n v="138"/>
    <n v="375"/>
    <s v="No"/>
    <n v="0"/>
    <x v="11"/>
    <n v="0.248"/>
  </r>
  <r>
    <s v="LN0125"/>
    <s v="CU8292"/>
    <n v="26"/>
    <s v="Female"/>
    <x v="2"/>
    <x v="0"/>
    <n v="91116"/>
    <n v="472314"/>
    <x v="4"/>
    <n v="32.43"/>
    <n v="46610.92"/>
    <x v="3"/>
    <x v="1"/>
    <x v="114"/>
    <m/>
    <m/>
    <n v="529"/>
    <s v="Yes"/>
    <n v="87356.23"/>
    <x v="15"/>
    <n v="0.248"/>
  </r>
  <r>
    <s v="LN0126"/>
    <s v="CU4292"/>
    <n v="29"/>
    <s v="Male"/>
    <x v="4"/>
    <x v="0"/>
    <n v="109606"/>
    <n v="295466"/>
    <x v="1"/>
    <n v="20.85"/>
    <n v="15160.95"/>
    <x v="0"/>
    <x v="2"/>
    <x v="115"/>
    <s v="2023-11-02"/>
    <n v="44"/>
    <n v="367"/>
    <s v="No"/>
    <n v="0"/>
    <x v="23"/>
    <n v="0.248"/>
  </r>
  <r>
    <s v="LN0127"/>
    <s v="CU8842"/>
    <n v="54"/>
    <s v="Female"/>
    <x v="4"/>
    <x v="0"/>
    <n v="47853"/>
    <n v="171213"/>
    <x v="0"/>
    <n v="22.8"/>
    <n v="59253.3"/>
    <x v="0"/>
    <x v="1"/>
    <x v="116"/>
    <m/>
    <m/>
    <n v="486"/>
    <s v="Yes"/>
    <n v="109139.24"/>
    <x v="11"/>
    <n v="0.248"/>
  </r>
  <r>
    <s v="LN0128"/>
    <s v="CU3114"/>
    <n v="48"/>
    <s v="Male"/>
    <x v="3"/>
    <x v="0"/>
    <n v="94724"/>
    <n v="91327"/>
    <x v="3"/>
    <n v="19.739999999999998"/>
    <n v="16109.44"/>
    <x v="3"/>
    <x v="1"/>
    <x v="117"/>
    <m/>
    <m/>
    <n v="590"/>
    <s v="Yes"/>
    <n v="63212.31"/>
    <x v="15"/>
    <n v="0.248"/>
  </r>
  <r>
    <s v="LN0129"/>
    <s v="CU5105"/>
    <n v="33"/>
    <s v="Female"/>
    <x v="0"/>
    <x v="1"/>
    <n v="39491"/>
    <n v="268493"/>
    <x v="3"/>
    <n v="26.2"/>
    <n v="48229.919999999998"/>
    <x v="0"/>
    <x v="2"/>
    <x v="118"/>
    <s v="2024-04-29"/>
    <n v="674"/>
    <n v="645"/>
    <s v="No"/>
    <n v="0"/>
    <x v="7"/>
    <n v="0.248"/>
  </r>
  <r>
    <s v="LN0130"/>
    <s v="CU1674"/>
    <n v="22"/>
    <s v="Male"/>
    <x v="3"/>
    <x v="1"/>
    <n v="70262"/>
    <n v="407107"/>
    <x v="1"/>
    <n v="22"/>
    <n v="21119.96"/>
    <x v="4"/>
    <x v="3"/>
    <x v="89"/>
    <s v="2024-03-01"/>
    <n v="148"/>
    <n v="609"/>
    <s v="Yes"/>
    <n v="0"/>
    <x v="18"/>
    <n v="0.248"/>
  </r>
  <r>
    <s v="LN0131"/>
    <s v="CU8912"/>
    <n v="36"/>
    <s v="Female"/>
    <x v="2"/>
    <x v="1"/>
    <n v="34129"/>
    <n v="366031"/>
    <x v="0"/>
    <n v="15.79"/>
    <n v="125235.23"/>
    <x v="1"/>
    <x v="3"/>
    <x v="119"/>
    <s v="2023-08-03"/>
    <n v="104"/>
    <n v="648"/>
    <s v="Yes"/>
    <n v="0"/>
    <x v="17"/>
    <n v="0.248"/>
  </r>
  <r>
    <s v="LN0132"/>
    <s v="CU3353"/>
    <n v="41"/>
    <s v="Female"/>
    <x v="2"/>
    <x v="1"/>
    <n v="49279"/>
    <n v="403807"/>
    <x v="4"/>
    <n v="24.36"/>
    <n v="38254.21"/>
    <x v="4"/>
    <x v="1"/>
    <x v="120"/>
    <m/>
    <m/>
    <n v="777"/>
    <s v="Yes"/>
    <n v="75013.34"/>
    <x v="9"/>
    <n v="0.248"/>
  </r>
  <r>
    <s v="LN0133"/>
    <s v="CU8366"/>
    <n v="36"/>
    <s v="Male"/>
    <x v="3"/>
    <x v="0"/>
    <n v="91077"/>
    <n v="206405"/>
    <x v="1"/>
    <n v="22.04"/>
    <n v="10711.99"/>
    <x v="3"/>
    <x v="1"/>
    <x v="121"/>
    <m/>
    <m/>
    <n v="620"/>
    <s v="Yes"/>
    <n v="48068.4"/>
    <x v="0"/>
    <n v="0.248"/>
  </r>
  <r>
    <s v="LN0134"/>
    <s v="CU3610"/>
    <n v="52"/>
    <s v="Female"/>
    <x v="4"/>
    <x v="1"/>
    <n v="145382"/>
    <n v="17151"/>
    <x v="0"/>
    <n v="34.69"/>
    <n v="6050.68"/>
    <x v="0"/>
    <x v="3"/>
    <x v="122"/>
    <s v="2023-04-12"/>
    <n v="220"/>
    <n v="661"/>
    <s v="Yes"/>
    <n v="0"/>
    <x v="9"/>
    <n v="0.248"/>
  </r>
  <r>
    <s v="LN0135"/>
    <s v="CU1797"/>
    <n v="24"/>
    <s v="Female"/>
    <x v="4"/>
    <x v="1"/>
    <n v="89907"/>
    <n v="286380"/>
    <x v="0"/>
    <n v="32.33"/>
    <n v="100649.28"/>
    <x v="1"/>
    <x v="2"/>
    <x v="123"/>
    <s v="2023-10-07"/>
    <n v="374"/>
    <n v="712"/>
    <s v="No"/>
    <n v="0"/>
    <x v="9"/>
    <n v="0.248"/>
  </r>
  <r>
    <s v="LN0136"/>
    <s v="CU7563"/>
    <n v="24"/>
    <s v="Male"/>
    <x v="2"/>
    <x v="1"/>
    <n v="34275"/>
    <n v="207558"/>
    <x v="1"/>
    <n v="22.81"/>
    <n v="10850.93"/>
    <x v="0"/>
    <x v="1"/>
    <x v="124"/>
    <m/>
    <m/>
    <n v="421"/>
    <s v="Yes"/>
    <n v="39449.379999999997"/>
    <x v="18"/>
    <n v="0.248"/>
  </r>
  <r>
    <s v="LN0137"/>
    <s v="CU2584"/>
    <n v="46"/>
    <s v="Female"/>
    <x v="2"/>
    <x v="1"/>
    <n v="52818"/>
    <n v="109363"/>
    <x v="1"/>
    <n v="24.22"/>
    <n v="5794.16"/>
    <x v="0"/>
    <x v="0"/>
    <x v="125"/>
    <m/>
    <m/>
    <n v="339"/>
    <s v="Yes"/>
    <n v="0"/>
    <x v="2"/>
    <n v="0.248"/>
  </r>
  <r>
    <s v="LN0138"/>
    <s v="CU6456"/>
    <n v="51"/>
    <s v="Female"/>
    <x v="0"/>
    <x v="0"/>
    <n v="100974"/>
    <n v="493305"/>
    <x v="1"/>
    <n v="19.64"/>
    <n v="25020.48"/>
    <x v="1"/>
    <x v="1"/>
    <x v="126"/>
    <m/>
    <m/>
    <n v="644"/>
    <s v="Yes"/>
    <n v="224513.21"/>
    <x v="0"/>
    <n v="0.248"/>
  </r>
  <r>
    <s v="LN0139"/>
    <s v="CU9351"/>
    <n v="55"/>
    <s v="Female"/>
    <x v="1"/>
    <x v="1"/>
    <n v="139490"/>
    <n v="432687"/>
    <x v="0"/>
    <n v="20.84"/>
    <n v="149267.29999999999"/>
    <x v="4"/>
    <x v="3"/>
    <x v="6"/>
    <s v="2024-01-25"/>
    <n v="157"/>
    <n v="327"/>
    <s v="Yes"/>
    <n v="0"/>
    <x v="0"/>
    <n v="0.248"/>
  </r>
  <r>
    <s v="LN0140"/>
    <s v="CU8775"/>
    <n v="37"/>
    <s v="Male"/>
    <x v="3"/>
    <x v="1"/>
    <n v="59698"/>
    <n v="279848"/>
    <x v="1"/>
    <n v="30.59"/>
    <n v="15732.21"/>
    <x v="1"/>
    <x v="2"/>
    <x v="127"/>
    <s v="2024-01-30"/>
    <n v="62"/>
    <n v="332"/>
    <s v="No"/>
    <n v="0"/>
    <x v="12"/>
    <n v="0.248"/>
  </r>
  <r>
    <s v="LN0141"/>
    <s v="CU2800"/>
    <n v="33"/>
    <s v="Male"/>
    <x v="4"/>
    <x v="1"/>
    <n v="124780"/>
    <n v="84393"/>
    <x v="2"/>
    <n v="28.57"/>
    <n v="5819.43"/>
    <x v="1"/>
    <x v="3"/>
    <x v="128"/>
    <s v="2024-02-25"/>
    <n v="722"/>
    <n v="441"/>
    <s v="Yes"/>
    <n v="0"/>
    <x v="3"/>
    <n v="0.248"/>
  </r>
  <r>
    <s v="LN0142"/>
    <s v="CU9498"/>
    <n v="34"/>
    <s v="Female"/>
    <x v="4"/>
    <x v="1"/>
    <n v="97248"/>
    <n v="95797"/>
    <x v="2"/>
    <n v="33.89"/>
    <n v="6862.14"/>
    <x v="2"/>
    <x v="1"/>
    <x v="129"/>
    <m/>
    <m/>
    <n v="570"/>
    <s v="Yes"/>
    <n v="50490.15"/>
    <x v="12"/>
    <n v="0.248"/>
  </r>
  <r>
    <s v="LN0143"/>
    <s v="CU4150"/>
    <n v="36"/>
    <s v="Female"/>
    <x v="1"/>
    <x v="1"/>
    <n v="73947"/>
    <n v="498609"/>
    <x v="4"/>
    <n v="30.51"/>
    <n v="48733.13"/>
    <x v="3"/>
    <x v="3"/>
    <x v="63"/>
    <s v="2024-03-26"/>
    <n v="491"/>
    <n v="657"/>
    <s v="Yes"/>
    <n v="0"/>
    <x v="8"/>
    <n v="0.248"/>
  </r>
  <r>
    <s v="LN0144"/>
    <s v="CU5480"/>
    <n v="39"/>
    <s v="Male"/>
    <x v="1"/>
    <x v="1"/>
    <n v="118424"/>
    <n v="434065"/>
    <x v="4"/>
    <n v="34.909999999999997"/>
    <n v="43370.96"/>
    <x v="3"/>
    <x v="1"/>
    <x v="130"/>
    <m/>
    <m/>
    <n v="594"/>
    <s v="Yes"/>
    <n v="333674.27"/>
    <x v="2"/>
    <n v="0.248"/>
  </r>
  <r>
    <s v="LN0145"/>
    <s v="CU2294"/>
    <n v="43"/>
    <s v="Female"/>
    <x v="2"/>
    <x v="1"/>
    <n v="71095"/>
    <n v="110941"/>
    <x v="1"/>
    <n v="18.510000000000002"/>
    <n v="5566.01"/>
    <x v="0"/>
    <x v="1"/>
    <x v="101"/>
    <m/>
    <m/>
    <n v="411"/>
    <s v="Yes"/>
    <n v="58906.78"/>
    <x v="11"/>
    <n v="0.248"/>
  </r>
  <r>
    <s v="LN0146"/>
    <s v="CU4920"/>
    <n v="36"/>
    <s v="Male"/>
    <x v="1"/>
    <x v="0"/>
    <n v="76036"/>
    <n v="32520"/>
    <x v="0"/>
    <n v="21.92"/>
    <n v="11238.41"/>
    <x v="1"/>
    <x v="0"/>
    <x v="127"/>
    <m/>
    <m/>
    <n v="440"/>
    <s v="Yes"/>
    <n v="0"/>
    <x v="12"/>
    <n v="0.248"/>
  </r>
  <r>
    <s v="LN0147"/>
    <s v="CU3587"/>
    <n v="47"/>
    <s v="Female"/>
    <x v="4"/>
    <x v="0"/>
    <n v="90299"/>
    <n v="173384"/>
    <x v="4"/>
    <n v="27.5"/>
    <n v="16690.21"/>
    <x v="4"/>
    <x v="2"/>
    <x v="131"/>
    <s v="2023-07-21"/>
    <n v="19"/>
    <n v="479"/>
    <s v="No"/>
    <n v="0"/>
    <x v="4"/>
    <n v="0.248"/>
  </r>
  <r>
    <s v="LN0148"/>
    <s v="CU3880"/>
    <n v="23"/>
    <s v="Female"/>
    <x v="4"/>
    <x v="0"/>
    <n v="90882"/>
    <n v="464665"/>
    <x v="0"/>
    <n v="12.22"/>
    <n v="158053.54999999999"/>
    <x v="0"/>
    <x v="0"/>
    <x v="132"/>
    <m/>
    <m/>
    <n v="591"/>
    <s v="No"/>
    <n v="0"/>
    <x v="19"/>
    <n v="0.248"/>
  </r>
  <r>
    <s v="LN0149"/>
    <s v="CU9901"/>
    <n v="54"/>
    <s v="Female"/>
    <x v="0"/>
    <x v="1"/>
    <n v="86522"/>
    <n v="106088"/>
    <x v="0"/>
    <n v="19.940000000000001"/>
    <n v="36544.339999999997"/>
    <x v="1"/>
    <x v="1"/>
    <x v="133"/>
    <m/>
    <m/>
    <n v="314"/>
    <s v="Yes"/>
    <n v="65311.22"/>
    <x v="20"/>
    <n v="0.248"/>
  </r>
  <r>
    <s v="LN0150"/>
    <s v="CU5833"/>
    <n v="33"/>
    <s v="Male"/>
    <x v="1"/>
    <x v="1"/>
    <n v="127119"/>
    <n v="275155"/>
    <x v="4"/>
    <n v="14.08"/>
    <n v="24715.73"/>
    <x v="4"/>
    <x v="2"/>
    <x v="134"/>
    <s v="2023-09-24"/>
    <n v="488"/>
    <n v="631"/>
    <s v="No"/>
    <n v="0"/>
    <x v="11"/>
    <n v="0.248"/>
  </r>
  <r>
    <s v="LN0151"/>
    <s v="CU1111"/>
    <n v="37"/>
    <s v="Female"/>
    <x v="0"/>
    <x v="1"/>
    <n v="84990"/>
    <n v="177818"/>
    <x v="4"/>
    <n v="25.98"/>
    <n v="16985.25"/>
    <x v="0"/>
    <x v="0"/>
    <x v="135"/>
    <m/>
    <m/>
    <n v="668"/>
    <s v="No"/>
    <n v="0"/>
    <x v="9"/>
    <n v="0.248"/>
  </r>
  <r>
    <s v="LN0152"/>
    <s v="CU2017"/>
    <n v="28"/>
    <s v="Female"/>
    <x v="2"/>
    <x v="0"/>
    <n v="121277"/>
    <n v="364700"/>
    <x v="1"/>
    <n v="34.15"/>
    <n v="21178.54"/>
    <x v="2"/>
    <x v="0"/>
    <x v="136"/>
    <m/>
    <m/>
    <n v="602"/>
    <s v="No"/>
    <n v="0"/>
    <x v="18"/>
    <n v="0.248"/>
  </r>
  <r>
    <s v="LN0153"/>
    <s v="CU4618"/>
    <n v="35"/>
    <s v="Male"/>
    <x v="4"/>
    <x v="0"/>
    <n v="134269"/>
    <n v="397028"/>
    <x v="1"/>
    <n v="20.97"/>
    <n v="20395.689999999999"/>
    <x v="0"/>
    <x v="3"/>
    <x v="137"/>
    <s v="2024-06-09"/>
    <n v="340"/>
    <n v="523"/>
    <s v="Yes"/>
    <n v="0"/>
    <x v="4"/>
    <n v="0.248"/>
  </r>
  <r>
    <s v="LN0154"/>
    <s v="CU5054"/>
    <n v="26"/>
    <s v="Female"/>
    <x v="1"/>
    <x v="1"/>
    <n v="35474"/>
    <n v="485900"/>
    <x v="1"/>
    <n v="14.69"/>
    <n v="23488.16"/>
    <x v="0"/>
    <x v="2"/>
    <x v="138"/>
    <s v="2024-05-10"/>
    <n v="274"/>
    <n v="453"/>
    <s v="No"/>
    <n v="0"/>
    <x v="0"/>
    <n v="0.248"/>
  </r>
  <r>
    <s v="LN0155"/>
    <s v="CU9525"/>
    <n v="49"/>
    <s v="Male"/>
    <x v="0"/>
    <x v="1"/>
    <n v="38839"/>
    <n v="476276"/>
    <x v="1"/>
    <n v="22.69"/>
    <n v="24870.91"/>
    <x v="4"/>
    <x v="3"/>
    <x v="139"/>
    <s v="2023-10-23"/>
    <n v="525"/>
    <n v="725"/>
    <s v="Yes"/>
    <n v="0"/>
    <x v="11"/>
    <n v="0.248"/>
  </r>
  <r>
    <s v="LN0156"/>
    <s v="CU8484"/>
    <n v="24"/>
    <s v="Female"/>
    <x v="2"/>
    <x v="0"/>
    <n v="118795"/>
    <n v="138408"/>
    <x v="0"/>
    <n v="29.9"/>
    <n v="48453.97"/>
    <x v="0"/>
    <x v="0"/>
    <x v="125"/>
    <m/>
    <m/>
    <n v="733"/>
    <s v="No"/>
    <n v="0"/>
    <x v="2"/>
    <n v="0.248"/>
  </r>
  <r>
    <s v="LN0157"/>
    <s v="CU2044"/>
    <n v="55"/>
    <s v="Male"/>
    <x v="3"/>
    <x v="1"/>
    <n v="23319"/>
    <n v="155518"/>
    <x v="2"/>
    <n v="16.32"/>
    <n v="9798.84"/>
    <x v="3"/>
    <x v="3"/>
    <x v="140"/>
    <s v="2024-02-14"/>
    <n v="391"/>
    <n v="759"/>
    <s v="Yes"/>
    <n v="0"/>
    <x v="5"/>
    <n v="0.248"/>
  </r>
  <r>
    <s v="LN0158"/>
    <s v="CU7184"/>
    <n v="45"/>
    <s v="Male"/>
    <x v="1"/>
    <x v="0"/>
    <n v="106165"/>
    <n v="67197"/>
    <x v="3"/>
    <n v="35.83"/>
    <n v="12398.57"/>
    <x v="1"/>
    <x v="2"/>
    <x v="141"/>
    <s v="2022-08-20"/>
    <n v="3"/>
    <n v="323"/>
    <s v="No"/>
    <n v="0"/>
    <x v="14"/>
    <n v="0.248"/>
  </r>
  <r>
    <s v="LN0159"/>
    <s v="CU8585"/>
    <n v="55"/>
    <s v="Female"/>
    <x v="1"/>
    <x v="1"/>
    <n v="75205"/>
    <n v="134767"/>
    <x v="2"/>
    <n v="20.309999999999999"/>
    <n v="8748.0400000000009"/>
    <x v="2"/>
    <x v="2"/>
    <x v="142"/>
    <s v="2022-05-28"/>
    <n v="32"/>
    <n v="729"/>
    <s v="No"/>
    <n v="0"/>
    <x v="13"/>
    <n v="0.248"/>
  </r>
  <r>
    <s v="LN0160"/>
    <s v="CU1256"/>
    <n v="36"/>
    <s v="Male"/>
    <x v="3"/>
    <x v="0"/>
    <n v="23801"/>
    <n v="239063"/>
    <x v="1"/>
    <n v="28.13"/>
    <n v="13137.65"/>
    <x v="4"/>
    <x v="2"/>
    <x v="143"/>
    <s v="2023-04-02"/>
    <n v="411"/>
    <n v="749"/>
    <s v="No"/>
    <n v="0"/>
    <x v="2"/>
    <n v="0.248"/>
  </r>
  <r>
    <s v="LN0161"/>
    <s v="CU4559"/>
    <n v="24"/>
    <s v="Male"/>
    <x v="1"/>
    <x v="1"/>
    <n v="76384"/>
    <n v="432706"/>
    <x v="1"/>
    <n v="19.649999999999999"/>
    <n v="21949.01"/>
    <x v="0"/>
    <x v="1"/>
    <x v="144"/>
    <m/>
    <m/>
    <n v="609"/>
    <s v="Yes"/>
    <n v="308684.15999999997"/>
    <x v="14"/>
    <n v="0.248"/>
  </r>
  <r>
    <s v="LN0162"/>
    <s v="CU9540"/>
    <n v="35"/>
    <s v="Female"/>
    <x v="2"/>
    <x v="1"/>
    <n v="30979"/>
    <n v="296880"/>
    <x v="1"/>
    <n v="33.11"/>
    <n v="17078.349999999999"/>
    <x v="3"/>
    <x v="3"/>
    <x v="81"/>
    <s v="2024-04-02"/>
    <n v="253"/>
    <n v="348"/>
    <s v="Yes"/>
    <n v="0"/>
    <x v="4"/>
    <n v="0.248"/>
  </r>
  <r>
    <s v="LN0163"/>
    <s v="CU6642"/>
    <n v="45"/>
    <s v="Female"/>
    <x v="4"/>
    <x v="1"/>
    <n v="54116"/>
    <n v="162227"/>
    <x v="2"/>
    <n v="16.41"/>
    <n v="10228.48"/>
    <x v="0"/>
    <x v="3"/>
    <x v="122"/>
    <s v="2023-04-22"/>
    <n v="230"/>
    <n v="607"/>
    <s v="Yes"/>
    <n v="0"/>
    <x v="9"/>
    <n v="0.248"/>
  </r>
  <r>
    <s v="LN0164"/>
    <s v="CU3365"/>
    <n v="50"/>
    <s v="Male"/>
    <x v="1"/>
    <x v="1"/>
    <n v="124185"/>
    <n v="297178"/>
    <x v="1"/>
    <n v="15.22"/>
    <n v="14440.25"/>
    <x v="3"/>
    <x v="1"/>
    <x v="145"/>
    <m/>
    <m/>
    <n v="638"/>
    <s v="Yes"/>
    <n v="164248.53"/>
    <x v="20"/>
    <n v="0.248"/>
  </r>
  <r>
    <s v="LN0165"/>
    <s v="CU8369"/>
    <n v="44"/>
    <s v="Male"/>
    <x v="1"/>
    <x v="0"/>
    <n v="28510"/>
    <n v="145751"/>
    <x v="2"/>
    <n v="28.17"/>
    <n v="10021.450000000001"/>
    <x v="0"/>
    <x v="0"/>
    <x v="146"/>
    <m/>
    <m/>
    <n v="492"/>
    <s v="No"/>
    <n v="0"/>
    <x v="3"/>
    <n v="0.248"/>
  </r>
  <r>
    <s v="LN0166"/>
    <s v="CU4555"/>
    <n v="51"/>
    <s v="Male"/>
    <x v="2"/>
    <x v="1"/>
    <n v="19019"/>
    <n v="116048"/>
    <x v="3"/>
    <n v="35.090000000000003"/>
    <n v="21368.36"/>
    <x v="4"/>
    <x v="3"/>
    <x v="13"/>
    <s v="2024-05-16"/>
    <n v="618"/>
    <n v="509"/>
    <s v="Yes"/>
    <n v="0"/>
    <x v="9"/>
    <n v="0.248"/>
  </r>
  <r>
    <s v="LN0167"/>
    <s v="CU7498"/>
    <n v="36"/>
    <s v="Female"/>
    <x v="2"/>
    <x v="1"/>
    <n v="137224"/>
    <n v="284786"/>
    <x v="4"/>
    <n v="19.399999999999999"/>
    <n v="26299.3"/>
    <x v="2"/>
    <x v="3"/>
    <x v="147"/>
    <s v="2023-06-12"/>
    <n v="50"/>
    <n v="780"/>
    <s v="Yes"/>
    <n v="0"/>
    <x v="17"/>
    <n v="0.248"/>
  </r>
  <r>
    <s v="LN0168"/>
    <s v="CU6246"/>
    <n v="34"/>
    <s v="Female"/>
    <x v="2"/>
    <x v="1"/>
    <n v="26984"/>
    <n v="299924"/>
    <x v="3"/>
    <n v="29.79"/>
    <n v="54419.33"/>
    <x v="4"/>
    <x v="1"/>
    <x v="148"/>
    <m/>
    <m/>
    <n v="727"/>
    <s v="Yes"/>
    <n v="91967.08"/>
    <x v="4"/>
    <n v="0.248"/>
  </r>
  <r>
    <s v="LN0169"/>
    <s v="CU4214"/>
    <n v="42"/>
    <s v="Male"/>
    <x v="4"/>
    <x v="0"/>
    <n v="145888"/>
    <n v="293695"/>
    <x v="4"/>
    <n v="18.18"/>
    <n v="26951.119999999999"/>
    <x v="1"/>
    <x v="3"/>
    <x v="149"/>
    <s v="2023-07-12"/>
    <n v="86"/>
    <n v="660"/>
    <s v="Yes"/>
    <n v="0"/>
    <x v="17"/>
    <n v="0.248"/>
  </r>
  <r>
    <s v="LN0170"/>
    <s v="CU3773"/>
    <n v="29"/>
    <s v="Female"/>
    <x v="0"/>
    <x v="0"/>
    <n v="23866"/>
    <n v="444913"/>
    <x v="0"/>
    <n v="34.68"/>
    <n v="156957.72"/>
    <x v="4"/>
    <x v="0"/>
    <x v="150"/>
    <m/>
    <m/>
    <n v="440"/>
    <s v="No"/>
    <n v="0"/>
    <x v="16"/>
    <n v="0.248"/>
  </r>
  <r>
    <s v="LN0171"/>
    <s v="CU4791"/>
    <n v="25"/>
    <s v="Male"/>
    <x v="3"/>
    <x v="0"/>
    <n v="147574"/>
    <n v="244080"/>
    <x v="4"/>
    <n v="13.45"/>
    <n v="21852.13"/>
    <x v="0"/>
    <x v="3"/>
    <x v="151"/>
    <s v="2024-03-10"/>
    <n v="124"/>
    <n v="316"/>
    <s v="Yes"/>
    <n v="0"/>
    <x v="12"/>
    <n v="0.248"/>
  </r>
  <r>
    <s v="LN0172"/>
    <s v="CU1108"/>
    <n v="55"/>
    <s v="Female"/>
    <x v="3"/>
    <x v="0"/>
    <n v="87021"/>
    <n v="285881"/>
    <x v="4"/>
    <n v="12.41"/>
    <n v="25455.05"/>
    <x v="1"/>
    <x v="2"/>
    <x v="152"/>
    <s v="2022-07-27"/>
    <n v="98"/>
    <n v="836"/>
    <s v="Yes"/>
    <n v="0"/>
    <x v="13"/>
    <n v="0.248"/>
  </r>
  <r>
    <s v="LN0173"/>
    <s v="CU4144"/>
    <n v="54"/>
    <s v="Female"/>
    <x v="2"/>
    <x v="1"/>
    <n v="119044"/>
    <n v="46428"/>
    <x v="4"/>
    <n v="35.020000000000003"/>
    <n v="4641.54"/>
    <x v="1"/>
    <x v="2"/>
    <x v="153"/>
    <s v="2024-02-10"/>
    <n v="57"/>
    <n v="607"/>
    <s v="No"/>
    <n v="0"/>
    <x v="21"/>
    <n v="0.248"/>
  </r>
  <r>
    <s v="LN0174"/>
    <s v="CU2320"/>
    <n v="23"/>
    <s v="Male"/>
    <x v="4"/>
    <x v="1"/>
    <n v="113872"/>
    <n v="294774"/>
    <x v="2"/>
    <n v="13.35"/>
    <n v="18161.330000000002"/>
    <x v="4"/>
    <x v="2"/>
    <x v="108"/>
    <s v="2023-08-19"/>
    <n v="511"/>
    <n v="744"/>
    <s v="No"/>
    <n v="0"/>
    <x v="3"/>
    <n v="0.248"/>
  </r>
  <r>
    <s v="LN0175"/>
    <s v="CU6427"/>
    <n v="27"/>
    <s v="Male"/>
    <x v="0"/>
    <x v="0"/>
    <n v="139649"/>
    <n v="147131"/>
    <x v="0"/>
    <n v="34.18"/>
    <n v="51863.67"/>
    <x v="2"/>
    <x v="0"/>
    <x v="154"/>
    <m/>
    <m/>
    <n v="622"/>
    <s v="Yes"/>
    <n v="0"/>
    <x v="20"/>
    <n v="0.248"/>
  </r>
  <r>
    <s v="LN0176"/>
    <s v="CU4394"/>
    <n v="30"/>
    <s v="Female"/>
    <x v="3"/>
    <x v="1"/>
    <n v="57585"/>
    <n v="300676"/>
    <x v="3"/>
    <n v="25.6"/>
    <n v="53920.21"/>
    <x v="1"/>
    <x v="1"/>
    <x v="155"/>
    <m/>
    <m/>
    <n v="443"/>
    <s v="Yes"/>
    <n v="196446.26"/>
    <x v="5"/>
    <n v="0.248"/>
  </r>
  <r>
    <s v="LN0177"/>
    <s v="CU2284"/>
    <n v="53"/>
    <s v="Female"/>
    <x v="3"/>
    <x v="0"/>
    <n v="129580"/>
    <n v="126710"/>
    <x v="0"/>
    <n v="20.170000000000002"/>
    <n v="43664.41"/>
    <x v="0"/>
    <x v="3"/>
    <x v="156"/>
    <s v="2022-12-31"/>
    <n v="30"/>
    <n v="579"/>
    <s v="Yes"/>
    <n v="0"/>
    <x v="19"/>
    <n v="0.248"/>
  </r>
  <r>
    <s v="LN0178"/>
    <s v="CU8381"/>
    <n v="52"/>
    <s v="Male"/>
    <x v="2"/>
    <x v="1"/>
    <n v="128206"/>
    <n v="102380"/>
    <x v="1"/>
    <n v="27.86"/>
    <n v="5612.18"/>
    <x v="4"/>
    <x v="1"/>
    <x v="157"/>
    <m/>
    <m/>
    <n v="375"/>
    <s v="Yes"/>
    <n v="16117.34"/>
    <x v="9"/>
    <n v="0.248"/>
  </r>
  <r>
    <s v="LN0179"/>
    <s v="CU3526"/>
    <n v="45"/>
    <s v="Male"/>
    <x v="4"/>
    <x v="1"/>
    <n v="109555"/>
    <n v="60863"/>
    <x v="0"/>
    <n v="12.12"/>
    <n v="20698.849999999999"/>
    <x v="2"/>
    <x v="3"/>
    <x v="158"/>
    <s v="2023-10-07"/>
    <n v="276"/>
    <n v="404"/>
    <s v="Yes"/>
    <n v="0"/>
    <x v="5"/>
    <n v="0.248"/>
  </r>
  <r>
    <s v="LN0180"/>
    <s v="CU3170"/>
    <n v="26"/>
    <s v="Male"/>
    <x v="4"/>
    <x v="1"/>
    <n v="149333"/>
    <n v="218932"/>
    <x v="0"/>
    <n v="12.63"/>
    <n v="74518.87"/>
    <x v="2"/>
    <x v="0"/>
    <x v="103"/>
    <m/>
    <m/>
    <n v="632"/>
    <s v="No"/>
    <n v="0"/>
    <x v="23"/>
    <n v="0.248"/>
  </r>
  <r>
    <s v="LN0181"/>
    <s v="CU1202"/>
    <n v="39"/>
    <s v="Female"/>
    <x v="4"/>
    <x v="0"/>
    <n v="78633"/>
    <n v="304871"/>
    <x v="1"/>
    <n v="16.07"/>
    <n v="14937.63"/>
    <x v="1"/>
    <x v="2"/>
    <x v="159"/>
    <s v="2023-02-22"/>
    <n v="275"/>
    <n v="608"/>
    <s v="No"/>
    <n v="0"/>
    <x v="11"/>
    <n v="0.248"/>
  </r>
  <r>
    <s v="LN0182"/>
    <s v="CU3390"/>
    <n v="25"/>
    <s v="Male"/>
    <x v="4"/>
    <x v="1"/>
    <n v="125389"/>
    <n v="162156"/>
    <x v="2"/>
    <n v="30.78"/>
    <n v="11360.83"/>
    <x v="2"/>
    <x v="1"/>
    <x v="157"/>
    <m/>
    <m/>
    <n v="807"/>
    <s v="Yes"/>
    <n v="83618.09"/>
    <x v="9"/>
    <n v="0.248"/>
  </r>
  <r>
    <s v="LN0183"/>
    <s v="CU4203"/>
    <n v="50"/>
    <s v="Male"/>
    <x v="0"/>
    <x v="1"/>
    <n v="16774"/>
    <n v="212456"/>
    <x v="4"/>
    <n v="32.200000000000003"/>
    <n v="20942.310000000001"/>
    <x v="1"/>
    <x v="1"/>
    <x v="160"/>
    <m/>
    <m/>
    <n v="642"/>
    <s v="Yes"/>
    <n v="85286.5"/>
    <x v="10"/>
    <n v="0.248"/>
  </r>
  <r>
    <s v="LN0184"/>
    <s v="CU3230"/>
    <n v="40"/>
    <s v="Female"/>
    <x v="1"/>
    <x v="0"/>
    <n v="140569"/>
    <n v="169722"/>
    <x v="3"/>
    <n v="35.15"/>
    <n v="31256.74"/>
    <x v="2"/>
    <x v="1"/>
    <x v="161"/>
    <m/>
    <m/>
    <n v="802"/>
    <s v="Yes"/>
    <n v="131947.68"/>
    <x v="21"/>
    <n v="0.248"/>
  </r>
  <r>
    <s v="LN0185"/>
    <s v="CU4971"/>
    <n v="41"/>
    <s v="Female"/>
    <x v="2"/>
    <x v="1"/>
    <n v="110686"/>
    <n v="64710"/>
    <x v="1"/>
    <n v="16.8"/>
    <n v="3193.19"/>
    <x v="0"/>
    <x v="2"/>
    <x v="162"/>
    <s v="2024-06-13"/>
    <n v="196"/>
    <n v="327"/>
    <s v="No"/>
    <n v="0"/>
    <x v="12"/>
    <n v="0.248"/>
  </r>
  <r>
    <s v="LN0186"/>
    <s v="CU8563"/>
    <n v="34"/>
    <s v="Female"/>
    <x v="2"/>
    <x v="0"/>
    <n v="122254"/>
    <n v="357834"/>
    <x v="2"/>
    <n v="15.34"/>
    <n v="22380.7"/>
    <x v="2"/>
    <x v="2"/>
    <x v="163"/>
    <s v="2023-02-20"/>
    <n v="157"/>
    <n v="733"/>
    <s v="No"/>
    <n v="0"/>
    <x v="9"/>
    <n v="0.248"/>
  </r>
  <r>
    <s v="LN0187"/>
    <s v="CU2211"/>
    <n v="49"/>
    <s v="Female"/>
    <x v="1"/>
    <x v="1"/>
    <n v="147805"/>
    <n v="489177"/>
    <x v="2"/>
    <n v="25.05"/>
    <n v="32880.69"/>
    <x v="2"/>
    <x v="0"/>
    <x v="164"/>
    <m/>
    <m/>
    <n v="554"/>
    <s v="No"/>
    <n v="0"/>
    <x v="13"/>
    <n v="0.248"/>
  </r>
  <r>
    <s v="LN0188"/>
    <s v="CU6816"/>
    <n v="31"/>
    <s v="Male"/>
    <x v="1"/>
    <x v="1"/>
    <n v="101926"/>
    <n v="422454"/>
    <x v="2"/>
    <n v="14.54"/>
    <n v="26263.34"/>
    <x v="4"/>
    <x v="1"/>
    <x v="165"/>
    <m/>
    <m/>
    <n v="822"/>
    <s v="Yes"/>
    <n v="263103.13"/>
    <x v="14"/>
    <n v="0.248"/>
  </r>
  <r>
    <s v="LN0189"/>
    <s v="CU4621"/>
    <n v="49"/>
    <s v="Female"/>
    <x v="4"/>
    <x v="1"/>
    <n v="146194"/>
    <n v="84033"/>
    <x v="4"/>
    <n v="35.94"/>
    <n v="8439.61"/>
    <x v="1"/>
    <x v="0"/>
    <x v="69"/>
    <m/>
    <m/>
    <n v="725"/>
    <s v="No"/>
    <n v="0"/>
    <x v="6"/>
    <n v="0.248"/>
  </r>
  <r>
    <s v="LN0190"/>
    <s v="CU2406"/>
    <n v="28"/>
    <s v="Male"/>
    <x v="2"/>
    <x v="1"/>
    <n v="104932"/>
    <n v="243725"/>
    <x v="3"/>
    <n v="24.51"/>
    <n v="43573.63"/>
    <x v="2"/>
    <x v="3"/>
    <x v="166"/>
    <s v="2023-07-02"/>
    <n v="448"/>
    <n v="763"/>
    <s v="Yes"/>
    <n v="0"/>
    <x v="13"/>
    <n v="0.248"/>
  </r>
  <r>
    <s v="LN0191"/>
    <s v="CU6225"/>
    <n v="25"/>
    <s v="Female"/>
    <x v="3"/>
    <x v="0"/>
    <n v="20920"/>
    <n v="450214"/>
    <x v="4"/>
    <n v="27.55"/>
    <n v="43349.29"/>
    <x v="3"/>
    <x v="2"/>
    <x v="167"/>
    <s v="2023-09-10"/>
    <n v="89"/>
    <n v="463"/>
    <s v="No"/>
    <n v="0"/>
    <x v="15"/>
    <n v="0.248"/>
  </r>
  <r>
    <s v="LN0192"/>
    <s v="CU7985"/>
    <n v="50"/>
    <s v="Male"/>
    <x v="4"/>
    <x v="0"/>
    <n v="63860"/>
    <n v="340795"/>
    <x v="2"/>
    <n v="21.49"/>
    <n v="22315.84"/>
    <x v="0"/>
    <x v="2"/>
    <x v="168"/>
    <s v="2024-02-03"/>
    <n v="303"/>
    <n v="739"/>
    <s v="No"/>
    <n v="0"/>
    <x v="17"/>
    <n v="0.248"/>
  </r>
  <r>
    <s v="LN0193"/>
    <s v="CU4519"/>
    <n v="34"/>
    <s v="Female"/>
    <x v="3"/>
    <x v="0"/>
    <n v="64010"/>
    <n v="196780"/>
    <x v="4"/>
    <n v="16.73"/>
    <n v="17922.07"/>
    <x v="4"/>
    <x v="1"/>
    <x v="169"/>
    <m/>
    <m/>
    <n v="801"/>
    <s v="Yes"/>
    <n v="92368.63"/>
    <x v="12"/>
    <n v="0.248"/>
  </r>
  <r>
    <s v="LN0194"/>
    <s v="CU6134"/>
    <n v="45"/>
    <s v="Female"/>
    <x v="1"/>
    <x v="0"/>
    <n v="106206"/>
    <n v="189541"/>
    <x v="2"/>
    <n v="26.82"/>
    <n v="12905.5"/>
    <x v="2"/>
    <x v="0"/>
    <x v="170"/>
    <m/>
    <m/>
    <n v="437"/>
    <s v="No"/>
    <n v="0"/>
    <x v="12"/>
    <n v="0.248"/>
  </r>
  <r>
    <s v="LN0195"/>
    <s v="CU4908"/>
    <n v="40"/>
    <s v="Male"/>
    <x v="0"/>
    <x v="1"/>
    <n v="52056"/>
    <n v="272819"/>
    <x v="2"/>
    <n v="22.04"/>
    <n v="17937.32"/>
    <x v="3"/>
    <x v="3"/>
    <x v="171"/>
    <s v="2023-06-13"/>
    <n v="95"/>
    <n v="798"/>
    <s v="Yes"/>
    <n v="0"/>
    <x v="10"/>
    <n v="0.248"/>
  </r>
  <r>
    <s v="LN0196"/>
    <s v="CU9804"/>
    <n v="32"/>
    <s v="Male"/>
    <x v="4"/>
    <x v="1"/>
    <n v="51777"/>
    <n v="103093"/>
    <x v="4"/>
    <n v="32.21"/>
    <n v="10162.64"/>
    <x v="0"/>
    <x v="0"/>
    <x v="172"/>
    <m/>
    <m/>
    <n v="309"/>
    <s v="No"/>
    <n v="0"/>
    <x v="5"/>
    <n v="0.248"/>
  </r>
  <r>
    <s v="LN0197"/>
    <s v="CU4196"/>
    <n v="45"/>
    <s v="Female"/>
    <x v="4"/>
    <x v="1"/>
    <n v="123955"/>
    <n v="377319"/>
    <x v="2"/>
    <n v="23.73"/>
    <n v="25118.21"/>
    <x v="4"/>
    <x v="0"/>
    <x v="173"/>
    <m/>
    <m/>
    <n v="599"/>
    <s v="Yes"/>
    <n v="0"/>
    <x v="14"/>
    <n v="0.248"/>
  </r>
  <r>
    <s v="LN0198"/>
    <s v="CU4683"/>
    <n v="55"/>
    <s v="Female"/>
    <x v="0"/>
    <x v="1"/>
    <n v="144843"/>
    <n v="293214"/>
    <x v="1"/>
    <n v="14.72"/>
    <n v="14177.99"/>
    <x v="4"/>
    <x v="1"/>
    <x v="174"/>
    <m/>
    <m/>
    <n v="675"/>
    <s v="Yes"/>
    <n v="140575.70000000001"/>
    <x v="4"/>
    <n v="0.248"/>
  </r>
  <r>
    <s v="LN0199"/>
    <s v="CU1681"/>
    <n v="49"/>
    <s v="Male"/>
    <x v="4"/>
    <x v="0"/>
    <n v="79888"/>
    <n v="161085"/>
    <x v="0"/>
    <n v="22.79"/>
    <n v="55747.3"/>
    <x v="2"/>
    <x v="0"/>
    <x v="175"/>
    <m/>
    <m/>
    <n v="420"/>
    <s v="No"/>
    <n v="0"/>
    <x v="10"/>
    <n v="0.248"/>
  </r>
  <r>
    <s v="LN0200"/>
    <s v="CU4882"/>
    <n v="34"/>
    <s v="Female"/>
    <x v="1"/>
    <x v="1"/>
    <n v="58511"/>
    <n v="328040"/>
    <x v="3"/>
    <n v="30.84"/>
    <n v="59695.15"/>
    <x v="3"/>
    <x v="0"/>
    <x v="176"/>
    <m/>
    <m/>
    <n v="659"/>
    <s v="No"/>
    <n v="0"/>
    <x v="0"/>
    <n v="0.248"/>
  </r>
  <r>
    <s v="LN0201"/>
    <s v="CU9827"/>
    <n v="31"/>
    <s v="Female"/>
    <x v="2"/>
    <x v="1"/>
    <n v="85082"/>
    <n v="454847"/>
    <x v="1"/>
    <n v="35.65"/>
    <n v="26773.23"/>
    <x v="4"/>
    <x v="2"/>
    <x v="177"/>
    <s v="2024-06-10"/>
    <n v="470"/>
    <n v="360"/>
    <s v="No"/>
    <n v="0"/>
    <x v="16"/>
    <n v="0.248"/>
  </r>
  <r>
    <s v="LN0202"/>
    <s v="CU3078"/>
    <n v="29"/>
    <s v="Male"/>
    <x v="0"/>
    <x v="1"/>
    <n v="79894"/>
    <n v="404231"/>
    <x v="2"/>
    <n v="23.75"/>
    <n v="26913.69"/>
    <x v="0"/>
    <x v="1"/>
    <x v="89"/>
    <m/>
    <m/>
    <n v="724"/>
    <s v="Yes"/>
    <n v="146582.5"/>
    <x v="18"/>
    <n v="0.248"/>
  </r>
  <r>
    <s v="LN0203"/>
    <s v="CU2237"/>
    <n v="26"/>
    <s v="Female"/>
    <x v="1"/>
    <x v="1"/>
    <n v="111749"/>
    <n v="243391"/>
    <x v="2"/>
    <n v="19.850000000000001"/>
    <n v="15745.24"/>
    <x v="4"/>
    <x v="0"/>
    <x v="76"/>
    <m/>
    <m/>
    <n v="666"/>
    <s v="No"/>
    <n v="0"/>
    <x v="17"/>
    <n v="0.248"/>
  </r>
  <r>
    <s v="LN0204"/>
    <s v="CU9756"/>
    <n v="46"/>
    <s v="Male"/>
    <x v="4"/>
    <x v="0"/>
    <n v="144686"/>
    <n v="145790"/>
    <x v="4"/>
    <n v="31.88"/>
    <n v="14347.81"/>
    <x v="2"/>
    <x v="2"/>
    <x v="178"/>
    <s v="2024-04-07"/>
    <n v="248"/>
    <n v="651"/>
    <s v="No"/>
    <n v="0"/>
    <x v="0"/>
    <n v="0.248"/>
  </r>
  <r>
    <s v="LN0205"/>
    <s v="CU1793"/>
    <n v="23"/>
    <s v="Male"/>
    <x v="4"/>
    <x v="0"/>
    <n v="47568"/>
    <n v="492290"/>
    <x v="3"/>
    <n v="22.59"/>
    <n v="87538.29"/>
    <x v="4"/>
    <x v="3"/>
    <x v="179"/>
    <s v="2022-12-09"/>
    <n v="135"/>
    <n v="609"/>
    <s v="Yes"/>
    <n v="0"/>
    <x v="20"/>
    <n v="0.248"/>
  </r>
  <r>
    <s v="LN0206"/>
    <s v="CU3604"/>
    <n v="38"/>
    <s v="Male"/>
    <x v="2"/>
    <x v="1"/>
    <n v="36606"/>
    <n v="199953"/>
    <x v="3"/>
    <n v="13.24"/>
    <n v="34624.19"/>
    <x v="2"/>
    <x v="2"/>
    <x v="180"/>
    <s v="2024-02-14"/>
    <n v="335"/>
    <n v="393"/>
    <s v="No"/>
    <n v="0"/>
    <x v="10"/>
    <n v="0.248"/>
  </r>
  <r>
    <s v="LN0207"/>
    <s v="CU1017"/>
    <n v="34"/>
    <s v="Female"/>
    <x v="3"/>
    <x v="0"/>
    <n v="74294"/>
    <n v="277338"/>
    <x v="2"/>
    <n v="12.22"/>
    <n v="16941"/>
    <x v="2"/>
    <x v="0"/>
    <x v="181"/>
    <m/>
    <m/>
    <n v="435"/>
    <s v="No"/>
    <n v="0"/>
    <x v="10"/>
    <n v="0.248"/>
  </r>
  <r>
    <s v="LN0208"/>
    <s v="CU4751"/>
    <n v="45"/>
    <s v="Male"/>
    <x v="3"/>
    <x v="0"/>
    <n v="97143"/>
    <n v="197708"/>
    <x v="4"/>
    <n v="15.29"/>
    <n v="17871.86"/>
    <x v="3"/>
    <x v="2"/>
    <x v="20"/>
    <s v="2023-09-06"/>
    <n v="543"/>
    <n v="308"/>
    <s v="No"/>
    <n v="0"/>
    <x v="3"/>
    <n v="0.248"/>
  </r>
  <r>
    <s v="LN0209"/>
    <s v="CU3688"/>
    <n v="49"/>
    <s v="Female"/>
    <x v="0"/>
    <x v="0"/>
    <n v="122927"/>
    <n v="328001"/>
    <x v="2"/>
    <n v="32.64"/>
    <n v="23287.56"/>
    <x v="4"/>
    <x v="0"/>
    <x v="134"/>
    <m/>
    <m/>
    <n v="426"/>
    <s v="No"/>
    <n v="0"/>
    <x v="11"/>
    <n v="0.248"/>
  </r>
  <r>
    <s v="LN0210"/>
    <s v="CU7291"/>
    <n v="43"/>
    <s v="Female"/>
    <x v="2"/>
    <x v="0"/>
    <n v="79955"/>
    <n v="150210"/>
    <x v="0"/>
    <n v="17.96"/>
    <n v="51576.18"/>
    <x v="0"/>
    <x v="1"/>
    <x v="182"/>
    <m/>
    <m/>
    <n v="327"/>
    <s v="Yes"/>
    <n v="104174.31"/>
    <x v="21"/>
    <n v="0.248"/>
  </r>
  <r>
    <s v="LN0211"/>
    <s v="CU5942"/>
    <n v="34"/>
    <s v="Male"/>
    <x v="4"/>
    <x v="1"/>
    <n v="29304"/>
    <n v="415937"/>
    <x v="3"/>
    <n v="23.88"/>
    <n v="74230.429999999993"/>
    <x v="4"/>
    <x v="2"/>
    <x v="183"/>
    <s v="2024-04-17"/>
    <n v="326"/>
    <n v="372"/>
    <s v="No"/>
    <n v="0"/>
    <x v="22"/>
    <n v="0.248"/>
  </r>
  <r>
    <s v="LN0212"/>
    <s v="CU1197"/>
    <n v="44"/>
    <s v="Female"/>
    <x v="0"/>
    <x v="1"/>
    <n v="125326"/>
    <n v="196581"/>
    <x v="1"/>
    <n v="28.39"/>
    <n v="10829.14"/>
    <x v="1"/>
    <x v="0"/>
    <x v="184"/>
    <m/>
    <m/>
    <n v="369"/>
    <s v="Yes"/>
    <n v="0"/>
    <x v="1"/>
    <n v="0.248"/>
  </r>
  <r>
    <s v="LN0213"/>
    <s v="CU4534"/>
    <n v="23"/>
    <s v="Male"/>
    <x v="4"/>
    <x v="1"/>
    <n v="146346"/>
    <n v="407186"/>
    <x v="2"/>
    <n v="22.17"/>
    <n v="26797.35"/>
    <x v="1"/>
    <x v="0"/>
    <x v="185"/>
    <m/>
    <m/>
    <n v="849"/>
    <s v="No"/>
    <n v="0"/>
    <x v="18"/>
    <n v="0.248"/>
  </r>
  <r>
    <s v="LN0214"/>
    <s v="CU3501"/>
    <n v="38"/>
    <s v="Male"/>
    <x v="2"/>
    <x v="0"/>
    <n v="149035"/>
    <n v="487829"/>
    <x v="3"/>
    <n v="35.380000000000003"/>
    <n v="89897.87"/>
    <x v="3"/>
    <x v="1"/>
    <x v="186"/>
    <m/>
    <m/>
    <n v="367"/>
    <s v="Yes"/>
    <n v="154699.67000000001"/>
    <x v="16"/>
    <n v="0.248"/>
  </r>
  <r>
    <s v="LN0215"/>
    <s v="CU8167"/>
    <n v="36"/>
    <s v="Male"/>
    <x v="0"/>
    <x v="0"/>
    <n v="128897"/>
    <n v="65810"/>
    <x v="2"/>
    <n v="26.7"/>
    <n v="4476.9799999999996"/>
    <x v="4"/>
    <x v="1"/>
    <x v="187"/>
    <m/>
    <m/>
    <n v="479"/>
    <s v="Yes"/>
    <n v="12083.38"/>
    <x v="12"/>
    <n v="0.248"/>
  </r>
  <r>
    <s v="LN0216"/>
    <s v="CU3248"/>
    <n v="21"/>
    <s v="Male"/>
    <x v="4"/>
    <x v="1"/>
    <n v="82960"/>
    <n v="92536"/>
    <x v="4"/>
    <n v="15.05"/>
    <n v="8354.33"/>
    <x v="2"/>
    <x v="0"/>
    <x v="188"/>
    <m/>
    <m/>
    <n v="643"/>
    <s v="No"/>
    <n v="0"/>
    <x v="1"/>
    <n v="0.248"/>
  </r>
  <r>
    <s v="LN0217"/>
    <s v="CU5456"/>
    <n v="54"/>
    <s v="Male"/>
    <x v="2"/>
    <x v="0"/>
    <n v="145062"/>
    <n v="243654"/>
    <x v="1"/>
    <n v="20.64"/>
    <n v="12477.28"/>
    <x v="1"/>
    <x v="2"/>
    <x v="189"/>
    <s v="2023-06-22"/>
    <n v="161"/>
    <n v="561"/>
    <s v="No"/>
    <n v="0"/>
    <x v="5"/>
    <n v="0.248"/>
  </r>
  <r>
    <s v="LN0218"/>
    <s v="CU2889"/>
    <n v="35"/>
    <s v="Male"/>
    <x v="3"/>
    <x v="0"/>
    <n v="79107"/>
    <n v="29107"/>
    <x v="2"/>
    <n v="20.74"/>
    <n v="1895.43"/>
    <x v="3"/>
    <x v="2"/>
    <x v="190"/>
    <s v="2023-08-26"/>
    <n v="566"/>
    <n v="729"/>
    <s v="No"/>
    <n v="0"/>
    <x v="2"/>
    <n v="0.248"/>
  </r>
  <r>
    <s v="LN0219"/>
    <s v="CU5067"/>
    <n v="47"/>
    <s v="Female"/>
    <x v="2"/>
    <x v="0"/>
    <n v="112729"/>
    <n v="67600"/>
    <x v="1"/>
    <n v="28.16"/>
    <n v="3715.98"/>
    <x v="4"/>
    <x v="2"/>
    <x v="141"/>
    <s v="2024-01-27"/>
    <n v="528"/>
    <n v="347"/>
    <s v="No"/>
    <n v="0"/>
    <x v="14"/>
    <n v="0.248"/>
  </r>
  <r>
    <s v="LN0220"/>
    <s v="CU2129"/>
    <n v="50"/>
    <s v="Female"/>
    <x v="2"/>
    <x v="1"/>
    <n v="37645"/>
    <n v="294979"/>
    <x v="2"/>
    <n v="12.19"/>
    <n v="18014.47"/>
    <x v="3"/>
    <x v="1"/>
    <x v="191"/>
    <m/>
    <m/>
    <n v="611"/>
    <s v="Yes"/>
    <n v="182209.47"/>
    <x v="0"/>
    <n v="0.248"/>
  </r>
  <r>
    <s v="LN0221"/>
    <s v="CU4974"/>
    <n v="50"/>
    <s v="Female"/>
    <x v="1"/>
    <x v="1"/>
    <n v="66228"/>
    <n v="389021"/>
    <x v="1"/>
    <n v="30.25"/>
    <n v="21801.35"/>
    <x v="3"/>
    <x v="2"/>
    <x v="1"/>
    <s v="2023-03-02"/>
    <n v="419"/>
    <n v="324"/>
    <s v="No"/>
    <n v="0"/>
    <x v="1"/>
    <n v="0.248"/>
  </r>
  <r>
    <s v="LN0222"/>
    <s v="CU6675"/>
    <n v="21"/>
    <s v="Female"/>
    <x v="3"/>
    <x v="1"/>
    <n v="95612"/>
    <n v="59499"/>
    <x v="3"/>
    <n v="24.72"/>
    <n v="10643.63"/>
    <x v="3"/>
    <x v="3"/>
    <x v="48"/>
    <s v="2023-06-18"/>
    <n v="30"/>
    <n v="445"/>
    <s v="Yes"/>
    <n v="0"/>
    <x v="22"/>
    <n v="0.248"/>
  </r>
  <r>
    <s v="LN0223"/>
    <s v="CU5584"/>
    <n v="26"/>
    <s v="Male"/>
    <x v="0"/>
    <x v="1"/>
    <n v="112646"/>
    <n v="245364"/>
    <x v="0"/>
    <n v="25.94"/>
    <n v="85349.17"/>
    <x v="0"/>
    <x v="2"/>
    <x v="192"/>
    <s v="2024-05-03"/>
    <n v="201"/>
    <n v="376"/>
    <s v="No"/>
    <n v="0"/>
    <x v="18"/>
    <n v="0.248"/>
  </r>
  <r>
    <s v="LN0224"/>
    <s v="CU2020"/>
    <n v="48"/>
    <s v="Male"/>
    <x v="0"/>
    <x v="1"/>
    <n v="83417"/>
    <n v="451123"/>
    <x v="4"/>
    <n v="34.229999999999997"/>
    <n v="44922.63"/>
    <x v="1"/>
    <x v="1"/>
    <x v="193"/>
    <m/>
    <m/>
    <n v="763"/>
    <s v="Yes"/>
    <n v="130992.18"/>
    <x v="8"/>
    <n v="0.248"/>
  </r>
  <r>
    <s v="LN0225"/>
    <s v="CU2223"/>
    <n v="33"/>
    <s v="Male"/>
    <x v="1"/>
    <x v="0"/>
    <n v="55739"/>
    <n v="60395"/>
    <x v="3"/>
    <n v="22.79"/>
    <n v="10745.41"/>
    <x v="2"/>
    <x v="3"/>
    <x v="45"/>
    <s v="2023-11-03"/>
    <n v="548"/>
    <n v="666"/>
    <s v="Yes"/>
    <n v="0"/>
    <x v="11"/>
    <n v="0.248"/>
  </r>
  <r>
    <s v="LN0226"/>
    <s v="CU4401"/>
    <n v="49"/>
    <s v="Female"/>
    <x v="4"/>
    <x v="1"/>
    <n v="46434"/>
    <n v="52406"/>
    <x v="3"/>
    <n v="31.38"/>
    <n v="9550.93"/>
    <x v="2"/>
    <x v="0"/>
    <x v="194"/>
    <m/>
    <m/>
    <n v="635"/>
    <s v="Yes"/>
    <n v="0"/>
    <x v="14"/>
    <n v="0.248"/>
  </r>
  <r>
    <s v="LN0227"/>
    <s v="CU5066"/>
    <n v="43"/>
    <s v="Female"/>
    <x v="1"/>
    <x v="0"/>
    <n v="93339"/>
    <n v="141402"/>
    <x v="3"/>
    <n v="12.75"/>
    <n v="24451.119999999999"/>
    <x v="1"/>
    <x v="3"/>
    <x v="81"/>
    <s v="2024-04-30"/>
    <n v="281"/>
    <n v="555"/>
    <s v="Yes"/>
    <n v="0"/>
    <x v="4"/>
    <n v="0.248"/>
  </r>
  <r>
    <s v="LN0228"/>
    <s v="CU2551"/>
    <n v="50"/>
    <s v="Male"/>
    <x v="0"/>
    <x v="0"/>
    <n v="18134"/>
    <n v="37332"/>
    <x v="3"/>
    <n v="15.14"/>
    <n v="6499.62"/>
    <x v="1"/>
    <x v="1"/>
    <x v="195"/>
    <m/>
    <m/>
    <n v="386"/>
    <s v="Yes"/>
    <n v="18950.72"/>
    <x v="21"/>
    <n v="0.248"/>
  </r>
  <r>
    <s v="LN0229"/>
    <s v="CU5240"/>
    <n v="25"/>
    <s v="Male"/>
    <x v="3"/>
    <x v="0"/>
    <n v="131242"/>
    <n v="429305"/>
    <x v="3"/>
    <n v="14.21"/>
    <n v="74545.41"/>
    <x v="2"/>
    <x v="0"/>
    <x v="130"/>
    <m/>
    <m/>
    <n v="772"/>
    <s v="Yes"/>
    <n v="0"/>
    <x v="2"/>
    <n v="0.248"/>
  </r>
  <r>
    <s v="LN0230"/>
    <s v="CU8096"/>
    <n v="46"/>
    <s v="Female"/>
    <x v="3"/>
    <x v="1"/>
    <n v="126847"/>
    <n v="95600"/>
    <x v="4"/>
    <n v="17.149999999999999"/>
    <n v="8725.98"/>
    <x v="3"/>
    <x v="1"/>
    <x v="72"/>
    <m/>
    <m/>
    <n v="756"/>
    <s v="Yes"/>
    <n v="68678.720000000001"/>
    <x v="6"/>
    <n v="0.248"/>
  </r>
  <r>
    <s v="LN0231"/>
    <s v="CU1567"/>
    <n v="36"/>
    <s v="Female"/>
    <x v="4"/>
    <x v="1"/>
    <n v="140575"/>
    <n v="36970"/>
    <x v="0"/>
    <n v="18.71"/>
    <n v="12709.6"/>
    <x v="3"/>
    <x v="3"/>
    <x v="196"/>
    <s v="2024-05-12"/>
    <n v="658"/>
    <n v="838"/>
    <s v="Yes"/>
    <n v="0"/>
    <x v="20"/>
    <n v="0.248"/>
  </r>
  <r>
    <s v="LN0232"/>
    <s v="CU5082"/>
    <n v="55"/>
    <s v="Male"/>
    <x v="4"/>
    <x v="1"/>
    <n v="140746"/>
    <n v="290484"/>
    <x v="2"/>
    <n v="20.260000000000002"/>
    <n v="18849"/>
    <x v="0"/>
    <x v="1"/>
    <x v="197"/>
    <m/>
    <m/>
    <n v="576"/>
    <s v="Yes"/>
    <n v="65611.94"/>
    <x v="16"/>
    <n v="0.248"/>
  </r>
  <r>
    <s v="LN0233"/>
    <s v="CU6224"/>
    <n v="35"/>
    <s v="Male"/>
    <x v="2"/>
    <x v="0"/>
    <n v="138649"/>
    <n v="282574"/>
    <x v="4"/>
    <n v="30.4"/>
    <n v="27602.959999999999"/>
    <x v="3"/>
    <x v="2"/>
    <x v="46"/>
    <s v="2022-12-22"/>
    <n v="253"/>
    <n v="546"/>
    <s v="No"/>
    <n v="0"/>
    <x v="13"/>
    <n v="0.248"/>
  </r>
  <r>
    <s v="LN0234"/>
    <s v="CU1916"/>
    <n v="35"/>
    <s v="Female"/>
    <x v="2"/>
    <x v="0"/>
    <n v="61163"/>
    <n v="129020"/>
    <x v="1"/>
    <n v="19.63"/>
    <n v="6543.28"/>
    <x v="2"/>
    <x v="0"/>
    <x v="198"/>
    <m/>
    <m/>
    <n v="660"/>
    <s v="No"/>
    <n v="0"/>
    <x v="21"/>
    <n v="0.248"/>
  </r>
  <r>
    <s v="LN0235"/>
    <s v="CU3328"/>
    <n v="33"/>
    <s v="Female"/>
    <x v="1"/>
    <x v="1"/>
    <n v="61021"/>
    <n v="262129"/>
    <x v="0"/>
    <n v="14.17"/>
    <n v="89447.95"/>
    <x v="3"/>
    <x v="2"/>
    <x v="199"/>
    <s v="2023-07-14"/>
    <n v="539"/>
    <n v="789"/>
    <s v="Yes"/>
    <n v="0"/>
    <x v="1"/>
    <n v="0.248"/>
  </r>
  <r>
    <s v="LN0236"/>
    <s v="CU4300"/>
    <n v="29"/>
    <s v="Female"/>
    <x v="0"/>
    <x v="1"/>
    <n v="30612"/>
    <n v="16488"/>
    <x v="3"/>
    <n v="26.08"/>
    <n v="2960.78"/>
    <x v="3"/>
    <x v="0"/>
    <x v="75"/>
    <m/>
    <m/>
    <n v="673"/>
    <s v="No"/>
    <n v="0"/>
    <x v="15"/>
    <n v="0.248"/>
  </r>
  <r>
    <s v="LN0237"/>
    <s v="CU7120"/>
    <n v="46"/>
    <s v="Male"/>
    <x v="2"/>
    <x v="1"/>
    <n v="99568"/>
    <n v="76539"/>
    <x v="3"/>
    <n v="29.58"/>
    <n v="13879.39"/>
    <x v="1"/>
    <x v="3"/>
    <x v="200"/>
    <s v="2024-01-16"/>
    <n v="81"/>
    <n v="478"/>
    <s v="Yes"/>
    <n v="0"/>
    <x v="18"/>
    <n v="0.248"/>
  </r>
  <r>
    <s v="LN0238"/>
    <s v="CU6846"/>
    <n v="35"/>
    <s v="Male"/>
    <x v="4"/>
    <x v="1"/>
    <n v="92205"/>
    <n v="71767"/>
    <x v="3"/>
    <n v="29.49"/>
    <n v="13010.78"/>
    <x v="0"/>
    <x v="3"/>
    <x v="201"/>
    <s v="2023-08-21"/>
    <n v="16"/>
    <n v="486"/>
    <s v="Yes"/>
    <n v="0"/>
    <x v="0"/>
    <n v="0.248"/>
  </r>
  <r>
    <s v="LN0239"/>
    <s v="CU6213"/>
    <n v="35"/>
    <s v="Male"/>
    <x v="4"/>
    <x v="0"/>
    <n v="101813"/>
    <n v="395774"/>
    <x v="0"/>
    <n v="17.71"/>
    <n v="135837.66"/>
    <x v="2"/>
    <x v="2"/>
    <x v="202"/>
    <s v="2023-11-28"/>
    <n v="45"/>
    <n v="643"/>
    <s v="No"/>
    <n v="0"/>
    <x v="18"/>
    <n v="0.248"/>
  </r>
  <r>
    <s v="LN0240"/>
    <s v="CU5345"/>
    <n v="34"/>
    <s v="Male"/>
    <x v="3"/>
    <x v="1"/>
    <n v="82281"/>
    <n v="417625"/>
    <x v="0"/>
    <n v="29.29"/>
    <n v="146058.64000000001"/>
    <x v="4"/>
    <x v="3"/>
    <x v="203"/>
    <s v="2024-04-03"/>
    <n v="375"/>
    <n v="729"/>
    <s v="Yes"/>
    <n v="0"/>
    <x v="10"/>
    <n v="0.248"/>
  </r>
  <r>
    <s v="LN0241"/>
    <s v="CU3725"/>
    <n v="47"/>
    <s v="Female"/>
    <x v="4"/>
    <x v="1"/>
    <n v="113395"/>
    <n v="58177"/>
    <x v="2"/>
    <n v="30.93"/>
    <n v="4080.33"/>
    <x v="0"/>
    <x v="2"/>
    <x v="204"/>
    <s v="2023-09-21"/>
    <n v="462"/>
    <n v="375"/>
    <s v="No"/>
    <n v="0"/>
    <x v="7"/>
    <n v="0.248"/>
  </r>
  <r>
    <s v="LN0242"/>
    <s v="CU1547"/>
    <n v="39"/>
    <s v="Male"/>
    <x v="2"/>
    <x v="1"/>
    <n v="42453"/>
    <n v="43902"/>
    <x v="4"/>
    <n v="16.079999999999998"/>
    <n v="3984.93"/>
    <x v="1"/>
    <x v="2"/>
    <x v="205"/>
    <s v="2023-09-29"/>
    <n v="560"/>
    <n v="395"/>
    <s v="No"/>
    <n v="0"/>
    <x v="3"/>
    <n v="0.248"/>
  </r>
  <r>
    <s v="LN0243"/>
    <s v="CU8909"/>
    <n v="22"/>
    <s v="Female"/>
    <x v="0"/>
    <x v="1"/>
    <n v="56183"/>
    <n v="33078"/>
    <x v="0"/>
    <n v="19.95"/>
    <n v="11394.63"/>
    <x v="3"/>
    <x v="3"/>
    <x v="153"/>
    <s v="2024-05-04"/>
    <n v="141"/>
    <n v="571"/>
    <s v="Yes"/>
    <n v="0"/>
    <x v="21"/>
    <n v="0.248"/>
  </r>
  <r>
    <s v="LN0244"/>
    <s v="CU5612"/>
    <n v="40"/>
    <s v="Male"/>
    <x v="3"/>
    <x v="0"/>
    <n v="117996"/>
    <n v="304772"/>
    <x v="1"/>
    <n v="32.159999999999997"/>
    <n v="17381.349999999999"/>
    <x v="3"/>
    <x v="0"/>
    <x v="206"/>
    <m/>
    <m/>
    <n v="303"/>
    <s v="No"/>
    <n v="0"/>
    <x v="5"/>
    <n v="0.248"/>
  </r>
  <r>
    <s v="LN0245"/>
    <s v="CU5825"/>
    <n v="51"/>
    <s v="Male"/>
    <x v="3"/>
    <x v="0"/>
    <n v="69251"/>
    <n v="94565"/>
    <x v="4"/>
    <n v="35.450000000000003"/>
    <n v="9474.2199999999993"/>
    <x v="1"/>
    <x v="0"/>
    <x v="207"/>
    <m/>
    <m/>
    <n v="707"/>
    <s v="No"/>
    <n v="0"/>
    <x v="8"/>
    <n v="0.248"/>
  </r>
  <r>
    <s v="LN0246"/>
    <s v="CU5341"/>
    <n v="26"/>
    <s v="Female"/>
    <x v="0"/>
    <x v="1"/>
    <n v="114993"/>
    <n v="198672"/>
    <x v="3"/>
    <n v="22.7"/>
    <n v="35338.519999999997"/>
    <x v="2"/>
    <x v="3"/>
    <x v="39"/>
    <s v="2023-09-03"/>
    <n v="134"/>
    <n v="531"/>
    <s v="Yes"/>
    <n v="0"/>
    <x v="17"/>
    <n v="0.248"/>
  </r>
  <r>
    <s v="LN0247"/>
    <s v="CU5400"/>
    <n v="24"/>
    <s v="Male"/>
    <x v="3"/>
    <x v="0"/>
    <n v="105122"/>
    <n v="428719"/>
    <x v="1"/>
    <n v="21.94"/>
    <n v="22228.45"/>
    <x v="0"/>
    <x v="2"/>
    <x v="148"/>
    <s v="2023-08-21"/>
    <n v="31"/>
    <n v="696"/>
    <s v="No"/>
    <n v="0"/>
    <x v="4"/>
    <n v="0.248"/>
  </r>
  <r>
    <s v="LN0248"/>
    <s v="CU7858"/>
    <n v="55"/>
    <s v="Female"/>
    <x v="1"/>
    <x v="0"/>
    <n v="139849"/>
    <n v="161684"/>
    <x v="0"/>
    <n v="21.48"/>
    <n v="55835.51"/>
    <x v="4"/>
    <x v="2"/>
    <x v="45"/>
    <s v="2024-06-17"/>
    <n v="775"/>
    <n v="759"/>
    <s v="No"/>
    <n v="0"/>
    <x v="11"/>
    <n v="0.248"/>
  </r>
  <r>
    <s v="LN0249"/>
    <s v="CU3738"/>
    <n v="34"/>
    <s v="Male"/>
    <x v="0"/>
    <x v="0"/>
    <n v="125985"/>
    <n v="46087"/>
    <x v="2"/>
    <n v="16.850000000000001"/>
    <n v="2915.41"/>
    <x v="3"/>
    <x v="1"/>
    <x v="208"/>
    <m/>
    <m/>
    <n v="368"/>
    <s v="Yes"/>
    <n v="7416.28"/>
    <x v="8"/>
    <n v="0.248"/>
  </r>
  <r>
    <s v="LN0250"/>
    <s v="CU7510"/>
    <n v="41"/>
    <s v="Female"/>
    <x v="1"/>
    <x v="1"/>
    <n v="18241"/>
    <n v="417379"/>
    <x v="1"/>
    <n v="26.1"/>
    <n v="22507.17"/>
    <x v="1"/>
    <x v="0"/>
    <x v="209"/>
    <m/>
    <m/>
    <n v="453"/>
    <s v="Yes"/>
    <n v="0"/>
    <x v="10"/>
    <n v="0.248"/>
  </r>
  <r>
    <s v="LN0251"/>
    <s v="CU2641"/>
    <n v="27"/>
    <s v="Male"/>
    <x v="2"/>
    <x v="1"/>
    <n v="122712"/>
    <n v="143483"/>
    <x v="2"/>
    <n v="27.71"/>
    <n v="9832.73"/>
    <x v="0"/>
    <x v="3"/>
    <x v="90"/>
    <s v="2022-08-03"/>
    <n v="176"/>
    <n v="582"/>
    <s v="Yes"/>
    <n v="0"/>
    <x v="2"/>
    <n v="0.248"/>
  </r>
  <r>
    <s v="LN0252"/>
    <s v="CU7602"/>
    <n v="30"/>
    <s v="Female"/>
    <x v="3"/>
    <x v="1"/>
    <n v="101899"/>
    <n v="367028"/>
    <x v="3"/>
    <n v="13.18"/>
    <n v="63544.27"/>
    <x v="1"/>
    <x v="1"/>
    <x v="210"/>
    <m/>
    <m/>
    <n v="320"/>
    <s v="Yes"/>
    <n v="123507.22"/>
    <x v="5"/>
    <n v="0.248"/>
  </r>
  <r>
    <s v="LN0253"/>
    <s v="CU5965"/>
    <n v="40"/>
    <s v="Female"/>
    <x v="4"/>
    <x v="0"/>
    <n v="74757"/>
    <n v="75456"/>
    <x v="4"/>
    <n v="35.380000000000003"/>
    <n v="7557.11"/>
    <x v="1"/>
    <x v="1"/>
    <x v="211"/>
    <m/>
    <m/>
    <n v="726"/>
    <s v="Yes"/>
    <n v="39500.11"/>
    <x v="6"/>
    <n v="0.248"/>
  </r>
  <r>
    <s v="LN0254"/>
    <s v="CU2462"/>
    <n v="33"/>
    <s v="Female"/>
    <x v="0"/>
    <x v="1"/>
    <n v="141998"/>
    <n v="403193"/>
    <x v="1"/>
    <n v="32.81"/>
    <n v="23130.95"/>
    <x v="4"/>
    <x v="2"/>
    <x v="212"/>
    <s v="2023-01-21"/>
    <n v="318"/>
    <n v="818"/>
    <s v="No"/>
    <n v="0"/>
    <x v="3"/>
    <n v="0.248"/>
  </r>
  <r>
    <s v="LN0255"/>
    <s v="CU9589"/>
    <n v="22"/>
    <s v="Male"/>
    <x v="0"/>
    <x v="0"/>
    <n v="30106"/>
    <n v="135804"/>
    <x v="0"/>
    <n v="22.95"/>
    <n v="47010.43"/>
    <x v="2"/>
    <x v="2"/>
    <x v="213"/>
    <s v="2023-10-20"/>
    <n v="377"/>
    <n v="775"/>
    <s v="No"/>
    <n v="0"/>
    <x v="6"/>
    <n v="0.248"/>
  </r>
  <r>
    <s v="LN0256"/>
    <s v="CU3029"/>
    <n v="22"/>
    <s v="Male"/>
    <x v="2"/>
    <x v="1"/>
    <n v="131943"/>
    <n v="98104"/>
    <x v="2"/>
    <n v="26.09"/>
    <n v="6644.37"/>
    <x v="2"/>
    <x v="1"/>
    <x v="214"/>
    <m/>
    <m/>
    <n v="564"/>
    <s v="Yes"/>
    <n v="61243.66"/>
    <x v="7"/>
    <n v="0.248"/>
  </r>
  <r>
    <s v="LN0257"/>
    <s v="CU2480"/>
    <n v="39"/>
    <s v="Male"/>
    <x v="4"/>
    <x v="0"/>
    <n v="57705"/>
    <n v="452648"/>
    <x v="1"/>
    <n v="30.72"/>
    <n v="25476.89"/>
    <x v="3"/>
    <x v="2"/>
    <x v="215"/>
    <s v="2023-12-21"/>
    <n v="57"/>
    <n v="511"/>
    <s v="No"/>
    <n v="0"/>
    <x v="18"/>
    <n v="0.248"/>
  </r>
  <r>
    <s v="LN0258"/>
    <s v="CU7709"/>
    <n v="53"/>
    <s v="Male"/>
    <x v="3"/>
    <x v="1"/>
    <n v="49685"/>
    <n v="344409"/>
    <x v="3"/>
    <n v="26.43"/>
    <n v="61906.75"/>
    <x v="4"/>
    <x v="2"/>
    <x v="163"/>
    <s v="2024-05-30"/>
    <n v="622"/>
    <n v="612"/>
    <s v="No"/>
    <n v="0"/>
    <x v="9"/>
    <n v="0.248"/>
  </r>
  <r>
    <s v="LN0259"/>
    <s v="CU5511"/>
    <n v="48"/>
    <s v="Female"/>
    <x v="2"/>
    <x v="1"/>
    <n v="81059"/>
    <n v="119404"/>
    <x v="2"/>
    <n v="19.25"/>
    <n v="7690"/>
    <x v="0"/>
    <x v="3"/>
    <x v="216"/>
    <s v="2023-10-13"/>
    <n v="52"/>
    <n v="307"/>
    <s v="Yes"/>
    <n v="0"/>
    <x v="0"/>
    <n v="0.248"/>
  </r>
  <r>
    <s v="LN0260"/>
    <s v="CU9380"/>
    <n v="44"/>
    <s v="Female"/>
    <x v="2"/>
    <x v="0"/>
    <n v="141284"/>
    <n v="38469"/>
    <x v="4"/>
    <n v="35.72"/>
    <n v="3859.29"/>
    <x v="2"/>
    <x v="1"/>
    <x v="135"/>
    <m/>
    <m/>
    <n v="605"/>
    <s v="Yes"/>
    <n v="8919.1200000000008"/>
    <x v="9"/>
    <n v="0.248"/>
  </r>
  <r>
    <s v="LN0261"/>
    <s v="CU9475"/>
    <n v="36"/>
    <s v="Male"/>
    <x v="1"/>
    <x v="1"/>
    <n v="98777"/>
    <n v="361912"/>
    <x v="3"/>
    <n v="29.31"/>
    <n v="65578.820000000007"/>
    <x v="1"/>
    <x v="1"/>
    <x v="217"/>
    <m/>
    <m/>
    <n v="728"/>
    <s v="Yes"/>
    <n v="138691.64000000001"/>
    <x v="9"/>
    <n v="0.248"/>
  </r>
  <r>
    <s v="LN0262"/>
    <s v="CU1578"/>
    <n v="33"/>
    <s v="Female"/>
    <x v="0"/>
    <x v="1"/>
    <n v="108977"/>
    <n v="270979"/>
    <x v="4"/>
    <n v="32.29"/>
    <n v="26723.14"/>
    <x v="0"/>
    <x v="2"/>
    <x v="8"/>
    <s v="2023-02-04"/>
    <n v="99"/>
    <n v="782"/>
    <s v="Yes"/>
    <n v="0"/>
    <x v="6"/>
    <n v="0.248"/>
  </r>
  <r>
    <s v="LN0263"/>
    <s v="CU5237"/>
    <n v="32"/>
    <s v="Female"/>
    <x v="3"/>
    <x v="0"/>
    <n v="108135"/>
    <n v="122088"/>
    <x v="4"/>
    <n v="22.09"/>
    <n v="11432.04"/>
    <x v="2"/>
    <x v="1"/>
    <x v="218"/>
    <m/>
    <m/>
    <n v="601"/>
    <s v="Yes"/>
    <n v="51842.53"/>
    <x v="9"/>
    <n v="0.248"/>
  </r>
  <r>
    <s v="LN0264"/>
    <s v="CU2929"/>
    <n v="51"/>
    <s v="Male"/>
    <x v="1"/>
    <x v="0"/>
    <n v="138789"/>
    <n v="471315"/>
    <x v="3"/>
    <n v="24.01"/>
    <n v="84144.26"/>
    <x v="1"/>
    <x v="1"/>
    <x v="219"/>
    <m/>
    <m/>
    <n v="355"/>
    <s v="Yes"/>
    <n v="334442.49"/>
    <x v="16"/>
    <n v="0.248"/>
  </r>
  <r>
    <s v="LN0265"/>
    <s v="CU3470"/>
    <n v="29"/>
    <s v="Male"/>
    <x v="2"/>
    <x v="1"/>
    <n v="134949"/>
    <n v="80090"/>
    <x v="4"/>
    <n v="32.700000000000003"/>
    <n v="7914.5"/>
    <x v="3"/>
    <x v="0"/>
    <x v="220"/>
    <m/>
    <m/>
    <n v="640"/>
    <s v="No"/>
    <n v="0"/>
    <x v="22"/>
    <n v="0.248"/>
  </r>
  <r>
    <s v="LN0266"/>
    <s v="CU3897"/>
    <n v="41"/>
    <s v="Male"/>
    <x v="3"/>
    <x v="1"/>
    <n v="86703"/>
    <n v="114776"/>
    <x v="3"/>
    <n v="25.83"/>
    <n v="20596.060000000001"/>
    <x v="3"/>
    <x v="3"/>
    <x v="221"/>
    <s v="2022-08-11"/>
    <n v="132"/>
    <n v="744"/>
    <s v="Yes"/>
    <n v="0"/>
    <x v="13"/>
    <n v="0.248"/>
  </r>
  <r>
    <s v="LN0267"/>
    <s v="CU8035"/>
    <n v="46"/>
    <s v="Female"/>
    <x v="4"/>
    <x v="1"/>
    <n v="16223"/>
    <n v="24778"/>
    <x v="1"/>
    <n v="16.79"/>
    <n v="1222.58"/>
    <x v="2"/>
    <x v="0"/>
    <x v="222"/>
    <m/>
    <m/>
    <n v="843"/>
    <s v="No"/>
    <n v="0"/>
    <x v="8"/>
    <n v="0.248"/>
  </r>
  <r>
    <s v="LN0268"/>
    <s v="CU1067"/>
    <n v="36"/>
    <s v="Male"/>
    <x v="2"/>
    <x v="1"/>
    <n v="48798"/>
    <n v="58848"/>
    <x v="2"/>
    <n v="24.08"/>
    <n v="3927.59"/>
    <x v="2"/>
    <x v="2"/>
    <x v="223"/>
    <s v="2024-06-28"/>
    <n v="843"/>
    <n v="346"/>
    <s v="No"/>
    <n v="0"/>
    <x v="3"/>
    <n v="0.248"/>
  </r>
  <r>
    <s v="LN0269"/>
    <s v="CU5764"/>
    <n v="50"/>
    <s v="Female"/>
    <x v="4"/>
    <x v="0"/>
    <n v="104845"/>
    <n v="477584"/>
    <x v="2"/>
    <n v="20.62"/>
    <n v="31072.39"/>
    <x v="3"/>
    <x v="2"/>
    <x v="224"/>
    <s v="2023-02-27"/>
    <n v="9"/>
    <n v="533"/>
    <s v="No"/>
    <n v="0"/>
    <x v="16"/>
    <n v="0.248"/>
  </r>
  <r>
    <s v="LN0270"/>
    <s v="CU3149"/>
    <n v="34"/>
    <s v="Male"/>
    <x v="1"/>
    <x v="0"/>
    <n v="47286"/>
    <n v="197199"/>
    <x v="0"/>
    <n v="21"/>
    <n v="68046.960000000006"/>
    <x v="2"/>
    <x v="0"/>
    <x v="225"/>
    <m/>
    <m/>
    <n v="349"/>
    <s v="No"/>
    <n v="0"/>
    <x v="23"/>
    <n v="0.248"/>
  </r>
  <r>
    <s v="LN0271"/>
    <s v="CU1323"/>
    <n v="24"/>
    <s v="Male"/>
    <x v="4"/>
    <x v="1"/>
    <n v="114681"/>
    <n v="69799"/>
    <x v="1"/>
    <n v="18.07"/>
    <n v="3487.01"/>
    <x v="3"/>
    <x v="2"/>
    <x v="161"/>
    <s v="2024-06-05"/>
    <n v="175"/>
    <n v="309"/>
    <s v="No"/>
    <n v="0"/>
    <x v="21"/>
    <n v="0.248"/>
  </r>
  <r>
    <s v="LN0272"/>
    <s v="CU2654"/>
    <n v="54"/>
    <s v="Female"/>
    <x v="1"/>
    <x v="0"/>
    <n v="124792"/>
    <n v="440501"/>
    <x v="0"/>
    <n v="24.28"/>
    <n v="152815.21"/>
    <x v="0"/>
    <x v="0"/>
    <x v="226"/>
    <m/>
    <m/>
    <n v="416"/>
    <s v="No"/>
    <n v="0"/>
    <x v="6"/>
    <n v="0.248"/>
  </r>
  <r>
    <s v="LN0273"/>
    <s v="CU9154"/>
    <n v="33"/>
    <s v="Male"/>
    <x v="2"/>
    <x v="0"/>
    <n v="108827"/>
    <n v="373803"/>
    <x v="2"/>
    <n v="19.09"/>
    <n v="24045.47"/>
    <x v="4"/>
    <x v="3"/>
    <x v="227"/>
    <s v="2023-12-06"/>
    <n v="492"/>
    <n v="638"/>
    <s v="Yes"/>
    <n v="0"/>
    <x v="14"/>
    <n v="0.248"/>
  </r>
  <r>
    <s v="LN0274"/>
    <s v="CU4842"/>
    <n v="21"/>
    <s v="Male"/>
    <x v="3"/>
    <x v="0"/>
    <n v="144526"/>
    <n v="83194"/>
    <x v="0"/>
    <n v="30.71"/>
    <n v="29162.67"/>
    <x v="4"/>
    <x v="0"/>
    <x v="228"/>
    <m/>
    <m/>
    <n v="536"/>
    <s v="No"/>
    <n v="0"/>
    <x v="9"/>
    <n v="0.248"/>
  </r>
  <r>
    <s v="LN0275"/>
    <s v="CU5850"/>
    <n v="37"/>
    <s v="Female"/>
    <x v="3"/>
    <x v="0"/>
    <n v="60797"/>
    <n v="463301"/>
    <x v="0"/>
    <n v="32.450000000000003"/>
    <n v="162860.23000000001"/>
    <x v="2"/>
    <x v="1"/>
    <x v="229"/>
    <m/>
    <m/>
    <n v="418"/>
    <s v="Yes"/>
    <n v="77139.12"/>
    <x v="10"/>
    <n v="0.248"/>
  </r>
  <r>
    <s v="LN0276"/>
    <s v="CU1751"/>
    <n v="21"/>
    <s v="Male"/>
    <x v="0"/>
    <x v="1"/>
    <n v="108723"/>
    <n v="473990"/>
    <x v="2"/>
    <n v="34.92"/>
    <n v="34201.5"/>
    <x v="2"/>
    <x v="0"/>
    <x v="210"/>
    <m/>
    <m/>
    <n v="650"/>
    <s v="No"/>
    <n v="0"/>
    <x v="5"/>
    <n v="0.248"/>
  </r>
  <r>
    <s v="LN0277"/>
    <s v="CU7566"/>
    <n v="46"/>
    <s v="Female"/>
    <x v="2"/>
    <x v="1"/>
    <n v="140369"/>
    <n v="424377"/>
    <x v="2"/>
    <n v="27.57"/>
    <n v="29052.63"/>
    <x v="3"/>
    <x v="0"/>
    <x v="139"/>
    <m/>
    <m/>
    <n v="360"/>
    <s v="No"/>
    <n v="0"/>
    <x v="11"/>
    <n v="0.248"/>
  </r>
  <r>
    <s v="LN0278"/>
    <s v="CU3611"/>
    <n v="27"/>
    <s v="Female"/>
    <x v="1"/>
    <x v="1"/>
    <n v="129861"/>
    <n v="100032"/>
    <x v="1"/>
    <n v="21.11"/>
    <n v="5145.62"/>
    <x v="2"/>
    <x v="0"/>
    <x v="230"/>
    <m/>
    <m/>
    <n v="433"/>
    <s v="No"/>
    <n v="0"/>
    <x v="21"/>
    <n v="0.248"/>
  </r>
  <r>
    <s v="LN0279"/>
    <s v="CU8997"/>
    <n v="28"/>
    <s v="Female"/>
    <x v="4"/>
    <x v="0"/>
    <n v="31603"/>
    <n v="142160"/>
    <x v="4"/>
    <n v="12.3"/>
    <n v="12650.7"/>
    <x v="0"/>
    <x v="2"/>
    <x v="25"/>
    <s v="2024-06-27"/>
    <n v="223"/>
    <n v="646"/>
    <s v="No"/>
    <n v="0"/>
    <x v="12"/>
    <n v="0.248"/>
  </r>
  <r>
    <s v="LN0280"/>
    <s v="CU2560"/>
    <n v="48"/>
    <s v="Male"/>
    <x v="4"/>
    <x v="1"/>
    <n v="115893"/>
    <n v="82937"/>
    <x v="1"/>
    <n v="33.409999999999997"/>
    <n v="4784.0600000000004"/>
    <x v="0"/>
    <x v="0"/>
    <x v="231"/>
    <m/>
    <m/>
    <n v="460"/>
    <s v="No"/>
    <n v="0"/>
    <x v="1"/>
    <n v="0.248"/>
  </r>
  <r>
    <s v="LN0281"/>
    <s v="CU8688"/>
    <n v="52"/>
    <s v="Male"/>
    <x v="3"/>
    <x v="1"/>
    <n v="99052"/>
    <n v="131296"/>
    <x v="4"/>
    <n v="35.28"/>
    <n v="13143.07"/>
    <x v="4"/>
    <x v="2"/>
    <x v="232"/>
    <s v="2024-06-11"/>
    <n v="329"/>
    <n v="687"/>
    <s v="No"/>
    <n v="0"/>
    <x v="4"/>
    <n v="0.248"/>
  </r>
  <r>
    <s v="LN0282"/>
    <s v="CU4850"/>
    <n v="26"/>
    <s v="Female"/>
    <x v="4"/>
    <x v="1"/>
    <n v="38073"/>
    <n v="454099"/>
    <x v="2"/>
    <n v="22.73"/>
    <n v="30008.240000000002"/>
    <x v="4"/>
    <x v="3"/>
    <x v="233"/>
    <s v="2023-11-05"/>
    <n v="4"/>
    <n v="405"/>
    <s v="Yes"/>
    <n v="0"/>
    <x v="12"/>
    <n v="0.248"/>
  </r>
  <r>
    <s v="LN0283"/>
    <s v="CU7609"/>
    <n v="47"/>
    <s v="Male"/>
    <x v="1"/>
    <x v="0"/>
    <n v="38827"/>
    <n v="420122"/>
    <x v="1"/>
    <n v="35.119999999999997"/>
    <n v="24611.56"/>
    <x v="2"/>
    <x v="2"/>
    <x v="234"/>
    <s v="2024-04-21"/>
    <n v="171"/>
    <n v="767"/>
    <s v="No"/>
    <n v="0"/>
    <x v="12"/>
    <n v="0.248"/>
  </r>
  <r>
    <s v="LN0284"/>
    <s v="CU6953"/>
    <n v="24"/>
    <s v="Male"/>
    <x v="4"/>
    <x v="1"/>
    <n v="139029"/>
    <n v="380735"/>
    <x v="4"/>
    <n v="29.18"/>
    <n v="36963.360000000001"/>
    <x v="4"/>
    <x v="0"/>
    <x v="235"/>
    <m/>
    <m/>
    <n v="527"/>
    <s v="Yes"/>
    <n v="0"/>
    <x v="12"/>
    <n v="0.248"/>
  </r>
  <r>
    <s v="LN0285"/>
    <s v="CU6818"/>
    <n v="39"/>
    <s v="Female"/>
    <x v="3"/>
    <x v="0"/>
    <n v="58032"/>
    <n v="263171"/>
    <x v="3"/>
    <n v="31.72"/>
    <n v="48007.97"/>
    <x v="1"/>
    <x v="0"/>
    <x v="236"/>
    <m/>
    <m/>
    <n v="500"/>
    <s v="No"/>
    <n v="0"/>
    <x v="9"/>
    <n v="0.248"/>
  </r>
  <r>
    <s v="LN0286"/>
    <s v="CU7437"/>
    <n v="34"/>
    <s v="Female"/>
    <x v="0"/>
    <x v="1"/>
    <n v="43250"/>
    <n v="401964"/>
    <x v="2"/>
    <n v="13.12"/>
    <n v="24722.23"/>
    <x v="0"/>
    <x v="0"/>
    <x v="237"/>
    <m/>
    <m/>
    <n v="768"/>
    <s v="No"/>
    <n v="0"/>
    <x v="17"/>
    <n v="0.248"/>
  </r>
  <r>
    <s v="LN0287"/>
    <s v="CU9260"/>
    <n v="29"/>
    <s v="Female"/>
    <x v="3"/>
    <x v="0"/>
    <n v="128458"/>
    <n v="444781"/>
    <x v="1"/>
    <n v="23.59"/>
    <n v="23425.14"/>
    <x v="0"/>
    <x v="2"/>
    <x v="44"/>
    <s v="2024-05-06"/>
    <n v="148"/>
    <n v="477"/>
    <s v="No"/>
    <n v="0"/>
    <x v="21"/>
    <n v="0.248"/>
  </r>
  <r>
    <s v="LN0288"/>
    <s v="CU3103"/>
    <n v="27"/>
    <s v="Female"/>
    <x v="1"/>
    <x v="1"/>
    <n v="147149"/>
    <n v="467102"/>
    <x v="2"/>
    <n v="22.05"/>
    <n v="30713.31"/>
    <x v="0"/>
    <x v="2"/>
    <x v="213"/>
    <s v="2023-11-19"/>
    <n v="407"/>
    <n v="651"/>
    <s v="No"/>
    <n v="0"/>
    <x v="6"/>
    <n v="0.248"/>
  </r>
  <r>
    <s v="LN0289"/>
    <s v="CU8419"/>
    <n v="29"/>
    <s v="Male"/>
    <x v="4"/>
    <x v="1"/>
    <n v="97289"/>
    <n v="378227"/>
    <x v="1"/>
    <n v="27.18"/>
    <n v="20602.599999999999"/>
    <x v="3"/>
    <x v="2"/>
    <x v="238"/>
    <s v="2024-02-27"/>
    <n v="148"/>
    <n v="653"/>
    <s v="No"/>
    <n v="0"/>
    <x v="18"/>
    <n v="0.248"/>
  </r>
  <r>
    <s v="LN0290"/>
    <s v="CU3173"/>
    <n v="32"/>
    <s v="Female"/>
    <x v="3"/>
    <x v="1"/>
    <n v="140926"/>
    <n v="310558"/>
    <x v="1"/>
    <n v="34.619999999999997"/>
    <n v="18111.23"/>
    <x v="1"/>
    <x v="1"/>
    <x v="181"/>
    <m/>
    <m/>
    <n v="313"/>
    <s v="Yes"/>
    <n v="144692.39000000001"/>
    <x v="10"/>
    <n v="0.248"/>
  </r>
  <r>
    <s v="LN0291"/>
    <s v="CU1414"/>
    <n v="45"/>
    <s v="Male"/>
    <x v="3"/>
    <x v="0"/>
    <n v="67403"/>
    <n v="144973"/>
    <x v="3"/>
    <n v="35.6"/>
    <n v="26732.09"/>
    <x v="2"/>
    <x v="2"/>
    <x v="128"/>
    <s v="2024-02-10"/>
    <n v="707"/>
    <n v="602"/>
    <s v="No"/>
    <n v="0"/>
    <x v="3"/>
    <n v="0.248"/>
  </r>
  <r>
    <s v="LN0292"/>
    <s v="CU9866"/>
    <n v="23"/>
    <s v="Female"/>
    <x v="4"/>
    <x v="0"/>
    <n v="73800"/>
    <n v="394238"/>
    <x v="1"/>
    <n v="21.33"/>
    <n v="20322.13"/>
    <x v="0"/>
    <x v="1"/>
    <x v="239"/>
    <m/>
    <m/>
    <n v="348"/>
    <s v="Yes"/>
    <n v="295102.65999999997"/>
    <x v="21"/>
    <n v="0.248"/>
  </r>
  <r>
    <s v="LN0293"/>
    <s v="CU7349"/>
    <n v="47"/>
    <s v="Female"/>
    <x v="1"/>
    <x v="0"/>
    <n v="18398"/>
    <n v="394897"/>
    <x v="4"/>
    <n v="16.87"/>
    <n v="35992.120000000003"/>
    <x v="1"/>
    <x v="2"/>
    <x v="240"/>
    <s v="2024-04-16"/>
    <n v="188"/>
    <n v="501"/>
    <s v="No"/>
    <n v="0"/>
    <x v="18"/>
    <n v="0.248"/>
  </r>
  <r>
    <s v="LN0294"/>
    <s v="CU4170"/>
    <n v="39"/>
    <s v="Female"/>
    <x v="0"/>
    <x v="0"/>
    <n v="64014"/>
    <n v="96118"/>
    <x v="1"/>
    <n v="14.86"/>
    <n v="4654.05"/>
    <x v="4"/>
    <x v="3"/>
    <x v="241"/>
    <s v="2024-05-04"/>
    <n v="569"/>
    <n v="570"/>
    <s v="Yes"/>
    <n v="0"/>
    <x v="6"/>
    <n v="0.248"/>
  </r>
  <r>
    <s v="LN0295"/>
    <s v="CU3131"/>
    <n v="31"/>
    <s v="Female"/>
    <x v="3"/>
    <x v="1"/>
    <n v="137245"/>
    <n v="377081"/>
    <x v="3"/>
    <n v="12.96"/>
    <n v="65243.71"/>
    <x v="2"/>
    <x v="0"/>
    <x v="57"/>
    <m/>
    <m/>
    <n v="608"/>
    <s v="No"/>
    <n v="0"/>
    <x v="18"/>
    <n v="0.248"/>
  </r>
  <r>
    <s v="LN0296"/>
    <s v="CU6866"/>
    <n v="25"/>
    <s v="Female"/>
    <x v="1"/>
    <x v="0"/>
    <n v="63200"/>
    <n v="277947"/>
    <x v="0"/>
    <n v="30.87"/>
    <n v="97456.15"/>
    <x v="3"/>
    <x v="3"/>
    <x v="174"/>
    <s v="2024-04-10"/>
    <n v="274"/>
    <n v="713"/>
    <s v="Yes"/>
    <n v="0"/>
    <x v="4"/>
    <n v="0.248"/>
  </r>
  <r>
    <s v="LN0297"/>
    <s v="CU2506"/>
    <n v="43"/>
    <s v="Male"/>
    <x v="0"/>
    <x v="1"/>
    <n v="101787"/>
    <n v="194161"/>
    <x v="4"/>
    <n v="17.239999999999998"/>
    <n v="17730.53"/>
    <x v="0"/>
    <x v="3"/>
    <x v="242"/>
    <s v="2024-06-25"/>
    <n v="332"/>
    <n v="309"/>
    <s v="Yes"/>
    <n v="0"/>
    <x v="4"/>
    <n v="0.248"/>
  </r>
  <r>
    <s v="LN0298"/>
    <s v="CU2879"/>
    <n v="43"/>
    <s v="Female"/>
    <x v="0"/>
    <x v="0"/>
    <n v="25453"/>
    <n v="362853"/>
    <x v="4"/>
    <n v="21.15"/>
    <n v="33812.74"/>
    <x v="4"/>
    <x v="3"/>
    <x v="228"/>
    <s v="2024-03-26"/>
    <n v="553"/>
    <n v="589"/>
    <s v="Yes"/>
    <n v="0"/>
    <x v="9"/>
    <n v="0.248"/>
  </r>
  <r>
    <s v="LN0299"/>
    <s v="CU1404"/>
    <n v="54"/>
    <s v="Female"/>
    <x v="1"/>
    <x v="1"/>
    <n v="142612"/>
    <n v="27990"/>
    <x v="4"/>
    <n v="33.56"/>
    <n v="2777.91"/>
    <x v="3"/>
    <x v="1"/>
    <x v="243"/>
    <m/>
    <m/>
    <n v="384"/>
    <s v="Yes"/>
    <n v="21377.31"/>
    <x v="15"/>
    <n v="0.248"/>
  </r>
  <r>
    <s v="LN0300"/>
    <s v="CU3742"/>
    <n v="55"/>
    <s v="Male"/>
    <x v="3"/>
    <x v="0"/>
    <n v="70882"/>
    <n v="458483"/>
    <x v="2"/>
    <n v="32.06"/>
    <n v="32417.24"/>
    <x v="3"/>
    <x v="3"/>
    <x v="215"/>
    <s v="2024-05-21"/>
    <n v="209"/>
    <n v="373"/>
    <s v="Yes"/>
    <n v="0"/>
    <x v="18"/>
    <n v="0.248"/>
  </r>
  <r>
    <s v="LN0301"/>
    <s v="CU3519"/>
    <n v="22"/>
    <s v="Female"/>
    <x v="2"/>
    <x v="0"/>
    <n v="37943"/>
    <n v="43403"/>
    <x v="0"/>
    <n v="16.27"/>
    <n v="14861.74"/>
    <x v="2"/>
    <x v="0"/>
    <x v="244"/>
    <m/>
    <m/>
    <n v="533"/>
    <s v="No"/>
    <n v="0"/>
    <x v="0"/>
    <n v="0.248"/>
  </r>
  <r>
    <s v="LN0302"/>
    <s v="CU7678"/>
    <n v="45"/>
    <s v="Female"/>
    <x v="4"/>
    <x v="1"/>
    <n v="97943"/>
    <n v="13855"/>
    <x v="2"/>
    <n v="28.16"/>
    <n v="952.56"/>
    <x v="0"/>
    <x v="0"/>
    <x v="245"/>
    <m/>
    <m/>
    <n v="364"/>
    <s v="No"/>
    <n v="0"/>
    <x v="18"/>
    <n v="0.248"/>
  </r>
  <r>
    <s v="LN0303"/>
    <s v="CU1745"/>
    <n v="25"/>
    <s v="Female"/>
    <x v="1"/>
    <x v="0"/>
    <n v="90978"/>
    <n v="417557"/>
    <x v="4"/>
    <n v="26.56"/>
    <n v="40003.15"/>
    <x v="2"/>
    <x v="3"/>
    <x v="67"/>
    <s v="2024-03-05"/>
    <n v="404"/>
    <n v="331"/>
    <s v="Yes"/>
    <n v="0"/>
    <x v="5"/>
    <n v="0.248"/>
  </r>
  <r>
    <s v="LN0304"/>
    <s v="CU8765"/>
    <n v="31"/>
    <s v="Male"/>
    <x v="0"/>
    <x v="1"/>
    <n v="92326"/>
    <n v="337422"/>
    <x v="3"/>
    <n v="19.149999999999999"/>
    <n v="59419.51"/>
    <x v="2"/>
    <x v="0"/>
    <x v="148"/>
    <m/>
    <m/>
    <n v="444"/>
    <s v="Yes"/>
    <n v="0"/>
    <x v="4"/>
    <n v="0.248"/>
  </r>
  <r>
    <s v="LN0305"/>
    <s v="CU1082"/>
    <n v="46"/>
    <s v="Male"/>
    <x v="2"/>
    <x v="0"/>
    <n v="105138"/>
    <n v="116011"/>
    <x v="2"/>
    <n v="33.74"/>
    <n v="8301.27"/>
    <x v="0"/>
    <x v="2"/>
    <x v="246"/>
    <s v="2022-12-19"/>
    <n v="188"/>
    <n v="526"/>
    <s v="No"/>
    <n v="0"/>
    <x v="7"/>
    <n v="0.248"/>
  </r>
  <r>
    <s v="LN0306"/>
    <s v="CU5140"/>
    <n v="33"/>
    <s v="Male"/>
    <x v="0"/>
    <x v="0"/>
    <n v="135917"/>
    <n v="342995"/>
    <x v="1"/>
    <n v="13.76"/>
    <n v="16429.32"/>
    <x v="4"/>
    <x v="1"/>
    <x v="247"/>
    <m/>
    <m/>
    <n v="502"/>
    <s v="Yes"/>
    <n v="208510.94"/>
    <x v="13"/>
    <n v="0.248"/>
  </r>
  <r>
    <s v="LN0307"/>
    <s v="CU8982"/>
    <n v="42"/>
    <s v="Female"/>
    <x v="0"/>
    <x v="0"/>
    <n v="41226"/>
    <n v="154493"/>
    <x v="1"/>
    <n v="13.68"/>
    <n v="7394.32"/>
    <x v="3"/>
    <x v="1"/>
    <x v="248"/>
    <m/>
    <m/>
    <n v="761"/>
    <s v="Yes"/>
    <n v="50958.32"/>
    <x v="22"/>
    <n v="0.248"/>
  </r>
  <r>
    <s v="LN0308"/>
    <s v="CU6008"/>
    <n v="30"/>
    <s v="Female"/>
    <x v="2"/>
    <x v="1"/>
    <n v="59207"/>
    <n v="7533"/>
    <x v="4"/>
    <n v="17.91"/>
    <n v="690.3"/>
    <x v="3"/>
    <x v="3"/>
    <x v="249"/>
    <s v="2023-10-14"/>
    <n v="368"/>
    <n v="437"/>
    <s v="Yes"/>
    <n v="0"/>
    <x v="6"/>
    <n v="0.248"/>
  </r>
  <r>
    <s v="LN0309"/>
    <s v="CU6432"/>
    <n v="51"/>
    <s v="Female"/>
    <x v="4"/>
    <x v="1"/>
    <n v="95077"/>
    <n v="260313"/>
    <x v="1"/>
    <n v="14.61"/>
    <n v="12573.52"/>
    <x v="0"/>
    <x v="0"/>
    <x v="250"/>
    <m/>
    <m/>
    <n v="443"/>
    <s v="No"/>
    <n v="0"/>
    <x v="6"/>
    <n v="0.248"/>
  </r>
  <r>
    <s v="LN0310"/>
    <s v="CU4218"/>
    <n v="37"/>
    <s v="Male"/>
    <x v="3"/>
    <x v="0"/>
    <n v="147953"/>
    <n v="336154"/>
    <x v="0"/>
    <n v="31.5"/>
    <n v="117984.83"/>
    <x v="0"/>
    <x v="3"/>
    <x v="0"/>
    <s v="2023-12-14"/>
    <n v="108"/>
    <n v="337"/>
    <s v="Yes"/>
    <n v="0"/>
    <x v="0"/>
    <n v="0.248"/>
  </r>
  <r>
    <s v="LN0311"/>
    <s v="CU5269"/>
    <n v="55"/>
    <s v="Female"/>
    <x v="0"/>
    <x v="1"/>
    <n v="117891"/>
    <n v="122076"/>
    <x v="1"/>
    <n v="29.6"/>
    <n v="6800.5"/>
    <x v="2"/>
    <x v="2"/>
    <x v="119"/>
    <s v="2024-01-02"/>
    <n v="256"/>
    <n v="822"/>
    <s v="Yes"/>
    <n v="0"/>
    <x v="17"/>
    <n v="0.248"/>
  </r>
  <r>
    <s v="LN0312"/>
    <s v="CU6961"/>
    <n v="53"/>
    <s v="Male"/>
    <x v="0"/>
    <x v="0"/>
    <n v="149777"/>
    <n v="78594"/>
    <x v="2"/>
    <n v="15.82"/>
    <n v="4933.45"/>
    <x v="0"/>
    <x v="2"/>
    <x v="251"/>
    <s v="2023-11-10"/>
    <n v="183"/>
    <n v="341"/>
    <s v="No"/>
    <n v="0"/>
    <x v="22"/>
    <n v="0.248"/>
  </r>
  <r>
    <s v="LN0313"/>
    <s v="CU8989"/>
    <n v="35"/>
    <s v="Male"/>
    <x v="2"/>
    <x v="1"/>
    <n v="76346"/>
    <n v="27443"/>
    <x v="3"/>
    <n v="24.43"/>
    <n v="4905.21"/>
    <x v="2"/>
    <x v="3"/>
    <x v="252"/>
    <s v="2023-12-14"/>
    <n v="232"/>
    <n v="347"/>
    <s v="Yes"/>
    <n v="0"/>
    <x v="17"/>
    <n v="0.248"/>
  </r>
  <r>
    <s v="LN0314"/>
    <s v="CU1653"/>
    <n v="41"/>
    <s v="Male"/>
    <x v="1"/>
    <x v="1"/>
    <n v="84026"/>
    <n v="308369"/>
    <x v="1"/>
    <n v="25.68"/>
    <n v="16563.52"/>
    <x v="1"/>
    <x v="3"/>
    <x v="253"/>
    <s v="2023-03-30"/>
    <n v="79"/>
    <n v="829"/>
    <s v="Yes"/>
    <n v="0"/>
    <x v="5"/>
    <n v="0.248"/>
  </r>
  <r>
    <s v="LN0315"/>
    <s v="CU5121"/>
    <n v="45"/>
    <s v="Male"/>
    <x v="1"/>
    <x v="1"/>
    <n v="107510"/>
    <n v="433467"/>
    <x v="4"/>
    <n v="23.68"/>
    <n v="40921.370000000003"/>
    <x v="1"/>
    <x v="0"/>
    <x v="254"/>
    <m/>
    <m/>
    <n v="442"/>
    <s v="No"/>
    <n v="0"/>
    <x v="22"/>
    <n v="0.248"/>
  </r>
  <r>
    <s v="LN0316"/>
    <s v="CU4768"/>
    <n v="25"/>
    <s v="Female"/>
    <x v="0"/>
    <x v="0"/>
    <n v="63996"/>
    <n v="87500"/>
    <x v="4"/>
    <n v="26.45"/>
    <n v="8378.06"/>
    <x v="4"/>
    <x v="2"/>
    <x v="209"/>
    <s v="2024-04-19"/>
    <n v="415"/>
    <n v="638"/>
    <s v="No"/>
    <n v="0"/>
    <x v="10"/>
    <n v="0.248"/>
  </r>
  <r>
    <s v="LN0317"/>
    <s v="CU8889"/>
    <n v="51"/>
    <s v="Female"/>
    <x v="0"/>
    <x v="0"/>
    <n v="122714"/>
    <n v="16768"/>
    <x v="3"/>
    <n v="13.04"/>
    <n v="2901.91"/>
    <x v="0"/>
    <x v="2"/>
    <x v="255"/>
    <s v="2024-02-21"/>
    <n v="644"/>
    <n v="824"/>
    <s v="Yes"/>
    <n v="0"/>
    <x v="11"/>
    <n v="0.248"/>
  </r>
  <r>
    <s v="LN0318"/>
    <s v="CU3406"/>
    <n v="24"/>
    <s v="Male"/>
    <x v="2"/>
    <x v="0"/>
    <n v="121287"/>
    <n v="319235"/>
    <x v="1"/>
    <n v="27.3"/>
    <n v="17408.66"/>
    <x v="2"/>
    <x v="0"/>
    <x v="256"/>
    <m/>
    <m/>
    <n v="759"/>
    <s v="No"/>
    <n v="0"/>
    <x v="14"/>
    <n v="0.248"/>
  </r>
  <r>
    <s v="LN0319"/>
    <s v="CU8723"/>
    <n v="51"/>
    <s v="Male"/>
    <x v="0"/>
    <x v="1"/>
    <n v="52411"/>
    <n v="421607"/>
    <x v="1"/>
    <n v="31.69"/>
    <n v="23941.55"/>
    <x v="3"/>
    <x v="1"/>
    <x v="257"/>
    <m/>
    <m/>
    <n v="650"/>
    <s v="Yes"/>
    <n v="314369.73"/>
    <x v="7"/>
    <n v="0.248"/>
  </r>
  <r>
    <s v="LN0320"/>
    <s v="CU2127"/>
    <n v="35"/>
    <s v="Female"/>
    <x v="4"/>
    <x v="0"/>
    <n v="43461"/>
    <n v="13683"/>
    <x v="3"/>
    <n v="24.55"/>
    <n v="2446.5500000000002"/>
    <x v="0"/>
    <x v="3"/>
    <x v="258"/>
    <s v="2024-02-13"/>
    <n v="620"/>
    <n v="398"/>
    <s v="Yes"/>
    <n v="0"/>
    <x v="7"/>
    <n v="0.248"/>
  </r>
  <r>
    <s v="LN0321"/>
    <s v="CU3906"/>
    <n v="51"/>
    <s v="Male"/>
    <x v="1"/>
    <x v="0"/>
    <n v="39429"/>
    <n v="257833"/>
    <x v="3"/>
    <n v="33.65"/>
    <n v="47286.86"/>
    <x v="0"/>
    <x v="0"/>
    <x v="259"/>
    <m/>
    <m/>
    <n v="741"/>
    <s v="No"/>
    <n v="0"/>
    <x v="12"/>
    <n v="0.248"/>
  </r>
  <r>
    <s v="LN0322"/>
    <s v="CU7068"/>
    <n v="23"/>
    <s v="Female"/>
    <x v="0"/>
    <x v="1"/>
    <n v="114938"/>
    <n v="188772"/>
    <x v="1"/>
    <n v="31.31"/>
    <n v="10682.48"/>
    <x v="0"/>
    <x v="0"/>
    <x v="260"/>
    <m/>
    <m/>
    <n v="437"/>
    <s v="No"/>
    <n v="0"/>
    <x v="10"/>
    <n v="0.248"/>
  </r>
  <r>
    <s v="LN0323"/>
    <s v="CU4809"/>
    <n v="26"/>
    <s v="Female"/>
    <x v="1"/>
    <x v="1"/>
    <n v="82582"/>
    <n v="104101"/>
    <x v="0"/>
    <n v="29.02"/>
    <n v="36392.04"/>
    <x v="4"/>
    <x v="0"/>
    <x v="261"/>
    <m/>
    <m/>
    <n v="307"/>
    <s v="No"/>
    <n v="0"/>
    <x v="15"/>
    <n v="0.248"/>
  </r>
  <r>
    <s v="LN0324"/>
    <s v="CU4365"/>
    <n v="41"/>
    <s v="Female"/>
    <x v="2"/>
    <x v="0"/>
    <n v="55574"/>
    <n v="228384"/>
    <x v="1"/>
    <n v="18.09"/>
    <n v="11411.8"/>
    <x v="0"/>
    <x v="3"/>
    <x v="262"/>
    <s v="2024-02-05"/>
    <n v="187"/>
    <n v="582"/>
    <s v="Yes"/>
    <n v="0"/>
    <x v="0"/>
    <n v="0.248"/>
  </r>
  <r>
    <s v="LN0325"/>
    <s v="CU7511"/>
    <n v="34"/>
    <s v="Female"/>
    <x v="1"/>
    <x v="1"/>
    <n v="61850"/>
    <n v="199098"/>
    <x v="1"/>
    <n v="25.32"/>
    <n v="10658.16"/>
    <x v="2"/>
    <x v="1"/>
    <x v="121"/>
    <m/>
    <m/>
    <n v="652"/>
    <s v="Yes"/>
    <n v="127808.2"/>
    <x v="0"/>
    <n v="0.248"/>
  </r>
  <r>
    <s v="LN0326"/>
    <s v="CU7522"/>
    <n v="29"/>
    <s v="Male"/>
    <x v="0"/>
    <x v="1"/>
    <n v="57413"/>
    <n v="57574"/>
    <x v="3"/>
    <n v="24.2"/>
    <n v="10284.23"/>
    <x v="2"/>
    <x v="0"/>
    <x v="246"/>
    <m/>
    <m/>
    <n v="698"/>
    <s v="No"/>
    <n v="0"/>
    <x v="7"/>
    <n v="0.248"/>
  </r>
  <r>
    <s v="LN0327"/>
    <s v="CU1086"/>
    <n v="26"/>
    <s v="Male"/>
    <x v="4"/>
    <x v="1"/>
    <n v="38105"/>
    <n v="38596"/>
    <x v="4"/>
    <n v="17.32"/>
    <n v="3526"/>
    <x v="4"/>
    <x v="0"/>
    <x v="155"/>
    <m/>
    <m/>
    <n v="710"/>
    <s v="No"/>
    <n v="0"/>
    <x v="5"/>
    <n v="0.248"/>
  </r>
  <r>
    <s v="LN0328"/>
    <s v="CU9536"/>
    <n v="39"/>
    <s v="Male"/>
    <x v="0"/>
    <x v="1"/>
    <n v="130073"/>
    <n v="10615"/>
    <x v="3"/>
    <n v="32.409999999999997"/>
    <n v="1940.12"/>
    <x v="0"/>
    <x v="1"/>
    <x v="263"/>
    <m/>
    <m/>
    <n v="334"/>
    <s v="Yes"/>
    <n v="6886.71"/>
    <x v="20"/>
    <n v="0.248"/>
  </r>
  <r>
    <s v="LN0329"/>
    <s v="CU9364"/>
    <n v="54"/>
    <s v="Male"/>
    <x v="1"/>
    <x v="0"/>
    <n v="24453"/>
    <n v="193607"/>
    <x v="3"/>
    <n v="27.72"/>
    <n v="34926.32"/>
    <x v="3"/>
    <x v="0"/>
    <x v="264"/>
    <m/>
    <m/>
    <n v="709"/>
    <s v="No"/>
    <n v="0"/>
    <x v="6"/>
    <n v="0.248"/>
  </r>
  <r>
    <s v="LN0330"/>
    <s v="CU7474"/>
    <n v="46"/>
    <s v="Male"/>
    <x v="1"/>
    <x v="0"/>
    <n v="32987"/>
    <n v="486913"/>
    <x v="0"/>
    <n v="25.19"/>
    <n v="169165.59"/>
    <x v="0"/>
    <x v="1"/>
    <x v="265"/>
    <m/>
    <m/>
    <n v="583"/>
    <s v="Yes"/>
    <n v="125821.66"/>
    <x v="19"/>
    <n v="0.248"/>
  </r>
  <r>
    <s v="LN0331"/>
    <s v="CU4187"/>
    <n v="50"/>
    <s v="Female"/>
    <x v="1"/>
    <x v="0"/>
    <n v="83447"/>
    <n v="96768"/>
    <x v="2"/>
    <n v="24.15"/>
    <n v="6461.73"/>
    <x v="0"/>
    <x v="0"/>
    <x v="266"/>
    <m/>
    <m/>
    <n v="601"/>
    <s v="No"/>
    <n v="0"/>
    <x v="22"/>
    <n v="0.248"/>
  </r>
  <r>
    <s v="LN0332"/>
    <s v="CU2917"/>
    <n v="53"/>
    <s v="Female"/>
    <x v="1"/>
    <x v="1"/>
    <n v="131069"/>
    <n v="202698"/>
    <x v="1"/>
    <n v="23.61"/>
    <n v="10677.45"/>
    <x v="3"/>
    <x v="1"/>
    <x v="76"/>
    <m/>
    <m/>
    <n v="771"/>
    <s v="Yes"/>
    <n v="147476.31"/>
    <x v="17"/>
    <n v="0.248"/>
  </r>
  <r>
    <s v="LN0333"/>
    <s v="CU1448"/>
    <n v="51"/>
    <s v="Male"/>
    <x v="2"/>
    <x v="0"/>
    <n v="115315"/>
    <n v="337221"/>
    <x v="3"/>
    <n v="28.25"/>
    <n v="60924.2"/>
    <x v="3"/>
    <x v="1"/>
    <x v="150"/>
    <m/>
    <m/>
    <n v="661"/>
    <s v="Yes"/>
    <n v="155645.35"/>
    <x v="16"/>
    <n v="0.248"/>
  </r>
  <r>
    <s v="LN0334"/>
    <s v="CU1159"/>
    <n v="37"/>
    <s v="Male"/>
    <x v="2"/>
    <x v="0"/>
    <n v="119577"/>
    <n v="358211"/>
    <x v="4"/>
    <n v="13.82"/>
    <n v="32132.400000000001"/>
    <x v="3"/>
    <x v="3"/>
    <x v="17"/>
    <s v="2023-11-15"/>
    <n v="362"/>
    <n v="523"/>
    <s v="Yes"/>
    <n v="0"/>
    <x v="8"/>
    <n v="0.248"/>
  </r>
  <r>
    <s v="LN0335"/>
    <s v="CU5408"/>
    <n v="32"/>
    <s v="Male"/>
    <x v="4"/>
    <x v="0"/>
    <n v="76567"/>
    <n v="390576"/>
    <x v="3"/>
    <n v="32.950000000000003"/>
    <n v="71493.149999999994"/>
    <x v="3"/>
    <x v="2"/>
    <x v="179"/>
    <s v="2023-04-08"/>
    <n v="255"/>
    <n v="664"/>
    <s v="No"/>
    <n v="0"/>
    <x v="20"/>
    <n v="0.248"/>
  </r>
  <r>
    <s v="LN0336"/>
    <s v="CU2747"/>
    <n v="28"/>
    <s v="Male"/>
    <x v="4"/>
    <x v="0"/>
    <n v="26079"/>
    <n v="449601"/>
    <x v="2"/>
    <n v="20.91"/>
    <n v="29314.65"/>
    <x v="2"/>
    <x v="3"/>
    <x v="244"/>
    <s v="2023-12-30"/>
    <n v="140"/>
    <n v="802"/>
    <s v="Yes"/>
    <n v="0"/>
    <x v="0"/>
    <n v="0.248"/>
  </r>
  <r>
    <s v="LN0337"/>
    <s v="CU3996"/>
    <n v="53"/>
    <s v="Female"/>
    <x v="4"/>
    <x v="0"/>
    <n v="48618"/>
    <n v="33389"/>
    <x v="1"/>
    <n v="31.18"/>
    <n v="1887.21"/>
    <x v="1"/>
    <x v="0"/>
    <x v="267"/>
    <m/>
    <m/>
    <n v="655"/>
    <s v="No"/>
    <n v="0"/>
    <x v="22"/>
    <n v="0.248"/>
  </r>
  <r>
    <s v="LN0338"/>
    <s v="CU3863"/>
    <n v="50"/>
    <s v="Male"/>
    <x v="1"/>
    <x v="1"/>
    <n v="97746"/>
    <n v="366344"/>
    <x v="0"/>
    <n v="12.28"/>
    <n v="124622.43"/>
    <x v="3"/>
    <x v="3"/>
    <x v="268"/>
    <s v="2023-10-08"/>
    <n v="51"/>
    <n v="633"/>
    <s v="Yes"/>
    <n v="0"/>
    <x v="0"/>
    <n v="0.248"/>
  </r>
  <r>
    <s v="LN0339"/>
    <s v="CU6924"/>
    <n v="37"/>
    <s v="Male"/>
    <x v="1"/>
    <x v="1"/>
    <n v="77164"/>
    <n v="146247"/>
    <x v="2"/>
    <n v="35"/>
    <n v="10558.65"/>
    <x v="2"/>
    <x v="1"/>
    <x v="269"/>
    <m/>
    <m/>
    <n v="810"/>
    <s v="Yes"/>
    <n v="58024.959999999999"/>
    <x v="20"/>
    <n v="0.248"/>
  </r>
  <r>
    <s v="LN0340"/>
    <s v="CU7866"/>
    <n v="44"/>
    <s v="Female"/>
    <x v="4"/>
    <x v="1"/>
    <n v="133155"/>
    <n v="99313"/>
    <x v="1"/>
    <n v="15.15"/>
    <n v="4822.4399999999996"/>
    <x v="0"/>
    <x v="2"/>
    <x v="46"/>
    <s v="2024-04-20"/>
    <n v="738"/>
    <n v="576"/>
    <s v="No"/>
    <n v="0"/>
    <x v="13"/>
    <n v="0.248"/>
  </r>
  <r>
    <s v="LN0341"/>
    <s v="CU8081"/>
    <n v="45"/>
    <s v="Male"/>
    <x v="0"/>
    <x v="0"/>
    <n v="138990"/>
    <n v="427402"/>
    <x v="0"/>
    <n v="16.239999999999998"/>
    <n v="146340.73000000001"/>
    <x v="1"/>
    <x v="2"/>
    <x v="270"/>
    <s v="2024-06-28"/>
    <n v="264"/>
    <n v="846"/>
    <s v="No"/>
    <n v="0"/>
    <x v="18"/>
    <n v="0.248"/>
  </r>
  <r>
    <s v="LN0342"/>
    <s v="CU8972"/>
    <n v="40"/>
    <s v="Female"/>
    <x v="1"/>
    <x v="0"/>
    <n v="119438"/>
    <n v="56891"/>
    <x v="3"/>
    <n v="13.44"/>
    <n v="9856.9699999999993"/>
    <x v="2"/>
    <x v="3"/>
    <x v="271"/>
    <s v="2023-11-25"/>
    <n v="49"/>
    <n v="760"/>
    <s v="Yes"/>
    <n v="0"/>
    <x v="18"/>
    <n v="0.248"/>
  </r>
  <r>
    <s v="LN0343"/>
    <s v="CU6483"/>
    <n v="37"/>
    <s v="Female"/>
    <x v="2"/>
    <x v="1"/>
    <n v="105214"/>
    <n v="15399"/>
    <x v="2"/>
    <n v="14.91"/>
    <n v="960.01"/>
    <x v="0"/>
    <x v="2"/>
    <x v="54"/>
    <s v="2024-06-03"/>
    <n v="294"/>
    <n v="478"/>
    <s v="No"/>
    <n v="0"/>
    <x v="0"/>
    <n v="0.248"/>
  </r>
  <r>
    <s v="LN0344"/>
    <s v="CU5663"/>
    <n v="43"/>
    <s v="Female"/>
    <x v="1"/>
    <x v="1"/>
    <n v="132160"/>
    <n v="471423"/>
    <x v="0"/>
    <n v="21.15"/>
    <n v="162712.48000000001"/>
    <x v="2"/>
    <x v="3"/>
    <x v="93"/>
    <s v="2023-12-22"/>
    <n v="74"/>
    <n v="471"/>
    <s v="Yes"/>
    <n v="0"/>
    <x v="18"/>
    <n v="0.248"/>
  </r>
  <r>
    <s v="LN0345"/>
    <s v="CU6527"/>
    <n v="47"/>
    <s v="Female"/>
    <x v="3"/>
    <x v="0"/>
    <n v="57467"/>
    <n v="185158"/>
    <x v="3"/>
    <n v="19.52"/>
    <n v="32640.23"/>
    <x v="2"/>
    <x v="1"/>
    <x v="111"/>
    <m/>
    <m/>
    <n v="704"/>
    <s v="Yes"/>
    <n v="53672.43"/>
    <x v="23"/>
    <n v="0.248"/>
  </r>
  <r>
    <s v="LN0346"/>
    <s v="CU8289"/>
    <n v="44"/>
    <s v="Female"/>
    <x v="4"/>
    <x v="0"/>
    <n v="63204"/>
    <n v="452853"/>
    <x v="0"/>
    <n v="15"/>
    <n v="154740.4"/>
    <x v="3"/>
    <x v="1"/>
    <x v="272"/>
    <m/>
    <m/>
    <n v="381"/>
    <s v="Yes"/>
    <n v="112035.85"/>
    <x v="21"/>
    <n v="0.248"/>
  </r>
  <r>
    <s v="LN0347"/>
    <s v="CU7505"/>
    <n v="27"/>
    <s v="Male"/>
    <x v="3"/>
    <x v="1"/>
    <n v="29110"/>
    <n v="18822"/>
    <x v="2"/>
    <n v="24.58"/>
    <n v="1260.81"/>
    <x v="4"/>
    <x v="0"/>
    <x v="273"/>
    <m/>
    <m/>
    <n v="459"/>
    <s v="Yes"/>
    <n v="0"/>
    <x v="9"/>
    <n v="0.248"/>
  </r>
  <r>
    <s v="LN0348"/>
    <s v="CU7387"/>
    <n v="40"/>
    <s v="Male"/>
    <x v="0"/>
    <x v="1"/>
    <n v="131171"/>
    <n v="333456"/>
    <x v="3"/>
    <n v="15.15"/>
    <n v="58057.440000000002"/>
    <x v="3"/>
    <x v="0"/>
    <x v="274"/>
    <m/>
    <m/>
    <n v="665"/>
    <s v="No"/>
    <n v="0"/>
    <x v="2"/>
    <n v="0.248"/>
  </r>
  <r>
    <s v="LN0349"/>
    <s v="CU6328"/>
    <n v="51"/>
    <s v="Female"/>
    <x v="1"/>
    <x v="1"/>
    <n v="131613"/>
    <n v="75839"/>
    <x v="1"/>
    <n v="16.25"/>
    <n v="3722.38"/>
    <x v="0"/>
    <x v="3"/>
    <x v="93"/>
    <s v="2024-05-18"/>
    <n v="222"/>
    <n v="836"/>
    <s v="Yes"/>
    <n v="0"/>
    <x v="18"/>
    <n v="0.248"/>
  </r>
  <r>
    <s v="LN0350"/>
    <s v="CU9745"/>
    <n v="40"/>
    <s v="Female"/>
    <x v="4"/>
    <x v="0"/>
    <n v="38476"/>
    <n v="236662"/>
    <x v="4"/>
    <n v="20.78"/>
    <n v="22011.51"/>
    <x v="2"/>
    <x v="2"/>
    <x v="275"/>
    <s v="2022-11-17"/>
    <n v="10"/>
    <n v="300"/>
    <s v="No"/>
    <n v="0"/>
    <x v="8"/>
    <n v="0.248"/>
  </r>
  <r>
    <s v="LN0351"/>
    <s v="CU3233"/>
    <n v="43"/>
    <s v="Female"/>
    <x v="4"/>
    <x v="0"/>
    <n v="143956"/>
    <n v="401085"/>
    <x v="2"/>
    <n v="19.190000000000001"/>
    <n v="25819.64"/>
    <x v="1"/>
    <x v="1"/>
    <x v="103"/>
    <m/>
    <m/>
    <n v="536"/>
    <s v="Yes"/>
    <n v="263808.51"/>
    <x v="23"/>
    <n v="0.248"/>
  </r>
  <r>
    <s v="LN0352"/>
    <s v="CU9981"/>
    <n v="44"/>
    <s v="Male"/>
    <x v="4"/>
    <x v="1"/>
    <n v="118481"/>
    <n v="136017"/>
    <x v="3"/>
    <n v="29.16"/>
    <n v="24636.1"/>
    <x v="1"/>
    <x v="3"/>
    <x v="173"/>
    <s v="2023-05-10"/>
    <n v="269"/>
    <n v="381"/>
    <s v="Yes"/>
    <n v="0"/>
    <x v="14"/>
    <n v="0.248"/>
  </r>
  <r>
    <s v="LN0353"/>
    <s v="CU7917"/>
    <n v="36"/>
    <s v="Female"/>
    <x v="2"/>
    <x v="1"/>
    <n v="123240"/>
    <n v="103566"/>
    <x v="0"/>
    <n v="16.38"/>
    <n v="35468.71"/>
    <x v="2"/>
    <x v="0"/>
    <x v="192"/>
    <m/>
    <m/>
    <n v="766"/>
    <s v="No"/>
    <n v="0"/>
    <x v="18"/>
    <n v="0.248"/>
  </r>
  <r>
    <s v="LN0354"/>
    <s v="CU5458"/>
    <n v="52"/>
    <s v="Male"/>
    <x v="2"/>
    <x v="0"/>
    <n v="54885"/>
    <n v="31021"/>
    <x v="1"/>
    <n v="12.53"/>
    <n v="1467.96"/>
    <x v="4"/>
    <x v="1"/>
    <x v="211"/>
    <m/>
    <m/>
    <n v="428"/>
    <s v="Yes"/>
    <n v="18632.37"/>
    <x v="6"/>
    <n v="0.248"/>
  </r>
  <r>
    <s v="LN0355"/>
    <s v="CU1134"/>
    <n v="35"/>
    <s v="Male"/>
    <x v="0"/>
    <x v="0"/>
    <n v="144388"/>
    <n v="118869"/>
    <x v="4"/>
    <n v="22.09"/>
    <n v="11130.62"/>
    <x v="1"/>
    <x v="1"/>
    <x v="276"/>
    <m/>
    <m/>
    <n v="332"/>
    <s v="Yes"/>
    <n v="39366.33"/>
    <x v="17"/>
    <n v="0.248"/>
  </r>
  <r>
    <s v="LN0356"/>
    <s v="CU3393"/>
    <n v="24"/>
    <s v="Female"/>
    <x v="4"/>
    <x v="0"/>
    <n v="138246"/>
    <n v="100212"/>
    <x v="3"/>
    <n v="33.5"/>
    <n v="18371.349999999999"/>
    <x v="2"/>
    <x v="3"/>
    <x v="41"/>
    <s v="2022-05-17"/>
    <n v="124"/>
    <n v="554"/>
    <s v="Yes"/>
    <n v="0"/>
    <x v="1"/>
    <n v="0.248"/>
  </r>
  <r>
    <s v="LN0357"/>
    <s v="CU7304"/>
    <n v="49"/>
    <s v="Male"/>
    <x v="3"/>
    <x v="0"/>
    <n v="135805"/>
    <n v="390520"/>
    <x v="0"/>
    <n v="24.51"/>
    <n v="135526.75"/>
    <x v="3"/>
    <x v="3"/>
    <x v="277"/>
    <s v="2023-12-19"/>
    <n v="319"/>
    <n v="630"/>
    <s v="Yes"/>
    <n v="0"/>
    <x v="16"/>
    <n v="0.248"/>
  </r>
  <r>
    <s v="LN0358"/>
    <s v="CU3598"/>
    <n v="23"/>
    <s v="Male"/>
    <x v="2"/>
    <x v="1"/>
    <n v="93332"/>
    <n v="109188"/>
    <x v="4"/>
    <n v="33.299999999999997"/>
    <n v="10822.44"/>
    <x v="3"/>
    <x v="0"/>
    <x v="278"/>
    <m/>
    <m/>
    <n v="744"/>
    <s v="No"/>
    <n v="0"/>
    <x v="14"/>
    <n v="0.248"/>
  </r>
  <r>
    <s v="LN0359"/>
    <s v="CU3742"/>
    <n v="38"/>
    <s v="Male"/>
    <x v="4"/>
    <x v="0"/>
    <n v="17340"/>
    <n v="27016"/>
    <x v="1"/>
    <n v="30.8"/>
    <n v="1521.69"/>
    <x v="1"/>
    <x v="2"/>
    <x v="279"/>
    <s v="2023-04-17"/>
    <n v="91"/>
    <n v="554"/>
    <s v="No"/>
    <n v="0"/>
    <x v="5"/>
    <n v="0.248"/>
  </r>
  <r>
    <s v="LN0360"/>
    <s v="CU2497"/>
    <n v="42"/>
    <s v="Male"/>
    <x v="3"/>
    <x v="1"/>
    <n v="55348"/>
    <n v="372697"/>
    <x v="1"/>
    <n v="31"/>
    <n v="21030.87"/>
    <x v="3"/>
    <x v="3"/>
    <x v="280"/>
    <s v="2023-07-17"/>
    <n v="324"/>
    <n v="655"/>
    <s v="Yes"/>
    <n v="0"/>
    <x v="14"/>
    <n v="0.248"/>
  </r>
  <r>
    <s v="LN0361"/>
    <s v="CU8187"/>
    <n v="33"/>
    <s v="Male"/>
    <x v="4"/>
    <x v="1"/>
    <n v="50319"/>
    <n v="136437"/>
    <x v="0"/>
    <n v="23.65"/>
    <n v="47283.29"/>
    <x v="1"/>
    <x v="1"/>
    <x v="281"/>
    <m/>
    <m/>
    <n v="801"/>
    <s v="Yes"/>
    <n v="31768.41"/>
    <x v="4"/>
    <n v="0.248"/>
  </r>
  <r>
    <s v="LN0362"/>
    <s v="CU4057"/>
    <n v="55"/>
    <s v="Female"/>
    <x v="2"/>
    <x v="1"/>
    <n v="87174"/>
    <n v="459904"/>
    <x v="1"/>
    <n v="33.950000000000003"/>
    <n v="26658.84"/>
    <x v="0"/>
    <x v="2"/>
    <x v="20"/>
    <s v="2023-09-06"/>
    <n v="543"/>
    <n v="458"/>
    <s v="No"/>
    <n v="0"/>
    <x v="3"/>
    <n v="0.248"/>
  </r>
  <r>
    <s v="LN0363"/>
    <s v="CU5314"/>
    <n v="55"/>
    <s v="Female"/>
    <x v="4"/>
    <x v="0"/>
    <n v="147633"/>
    <n v="203727"/>
    <x v="3"/>
    <n v="33.19"/>
    <n v="37316.129999999997"/>
    <x v="0"/>
    <x v="1"/>
    <x v="282"/>
    <m/>
    <m/>
    <n v="544"/>
    <s v="Yes"/>
    <n v="66106.53"/>
    <x v="23"/>
    <n v="0.248"/>
  </r>
  <r>
    <s v="LN0364"/>
    <s v="CU2037"/>
    <n v="55"/>
    <s v="Female"/>
    <x v="0"/>
    <x v="1"/>
    <n v="55404"/>
    <n v="326409"/>
    <x v="4"/>
    <n v="19.739999999999998"/>
    <n v="30196.13"/>
    <x v="2"/>
    <x v="0"/>
    <x v="283"/>
    <m/>
    <m/>
    <n v="835"/>
    <s v="No"/>
    <n v="0"/>
    <x v="13"/>
    <n v="0.248"/>
  </r>
  <r>
    <s v="LN0365"/>
    <s v="CU1717"/>
    <n v="29"/>
    <s v="Male"/>
    <x v="3"/>
    <x v="0"/>
    <n v="43063"/>
    <n v="259473"/>
    <x v="3"/>
    <n v="14.37"/>
    <n v="45076.01"/>
    <x v="0"/>
    <x v="3"/>
    <x v="284"/>
    <s v="2024-03-09"/>
    <n v="125"/>
    <n v="838"/>
    <s v="Yes"/>
    <n v="0"/>
    <x v="12"/>
    <n v="0.248"/>
  </r>
  <r>
    <s v="LN0366"/>
    <s v="CU5193"/>
    <n v="24"/>
    <s v="Female"/>
    <x v="0"/>
    <x v="0"/>
    <n v="18430"/>
    <n v="492698"/>
    <x v="3"/>
    <n v="27.74"/>
    <n v="88886.720000000001"/>
    <x v="4"/>
    <x v="3"/>
    <x v="136"/>
    <s v="2023-11-17"/>
    <n v="31"/>
    <n v="669"/>
    <s v="Yes"/>
    <n v="0"/>
    <x v="18"/>
    <n v="0.248"/>
  </r>
  <r>
    <s v="LN0367"/>
    <s v="CU7814"/>
    <n v="44"/>
    <s v="Male"/>
    <x v="1"/>
    <x v="1"/>
    <n v="25656"/>
    <n v="389984"/>
    <x v="0"/>
    <n v="32.03"/>
    <n v="136995.14000000001"/>
    <x v="4"/>
    <x v="2"/>
    <x v="117"/>
    <s v="2023-08-04"/>
    <n v="49"/>
    <n v="403"/>
    <s v="No"/>
    <n v="0"/>
    <x v="15"/>
    <n v="0.248"/>
  </r>
  <r>
    <s v="LN0368"/>
    <s v="CU9710"/>
    <n v="45"/>
    <s v="Male"/>
    <x v="0"/>
    <x v="0"/>
    <n v="61897"/>
    <n v="297774"/>
    <x v="1"/>
    <n v="21.96"/>
    <n v="15442.08"/>
    <x v="4"/>
    <x v="1"/>
    <x v="285"/>
    <m/>
    <m/>
    <n v="769"/>
    <s v="Yes"/>
    <n v="176218.27"/>
    <x v="12"/>
    <n v="0.248"/>
  </r>
  <r>
    <s v="LN0369"/>
    <s v="CU7997"/>
    <n v="27"/>
    <s v="Male"/>
    <x v="0"/>
    <x v="1"/>
    <n v="147302"/>
    <n v="181953"/>
    <x v="3"/>
    <n v="24.81"/>
    <n v="32557.34"/>
    <x v="0"/>
    <x v="3"/>
    <x v="286"/>
    <s v="2023-11-14"/>
    <n v="322"/>
    <n v="632"/>
    <s v="Yes"/>
    <n v="0"/>
    <x v="19"/>
    <n v="0.248"/>
  </r>
  <r>
    <s v="LN0370"/>
    <s v="CU7090"/>
    <n v="47"/>
    <s v="Female"/>
    <x v="2"/>
    <x v="0"/>
    <n v="71079"/>
    <n v="201641"/>
    <x v="1"/>
    <n v="34.229999999999997"/>
    <n v="11718"/>
    <x v="2"/>
    <x v="1"/>
    <x v="287"/>
    <m/>
    <m/>
    <n v="758"/>
    <s v="Yes"/>
    <n v="155642.07"/>
    <x v="17"/>
    <n v="0.248"/>
  </r>
  <r>
    <s v="LN0371"/>
    <s v="CU1003"/>
    <n v="23"/>
    <s v="Female"/>
    <x v="1"/>
    <x v="0"/>
    <n v="50411"/>
    <n v="471786"/>
    <x v="4"/>
    <n v="12.16"/>
    <n v="41952.94"/>
    <x v="3"/>
    <x v="2"/>
    <x v="288"/>
    <s v="2022-12-11"/>
    <n v="22"/>
    <n v="582"/>
    <s v="No"/>
    <n v="0"/>
    <x v="8"/>
    <n v="0.248"/>
  </r>
  <r>
    <s v="LN0372"/>
    <s v="CU9376"/>
    <n v="30"/>
    <s v="Male"/>
    <x v="3"/>
    <x v="1"/>
    <n v="108233"/>
    <n v="86845"/>
    <x v="3"/>
    <n v="18.36"/>
    <n v="15259.06"/>
    <x v="0"/>
    <x v="2"/>
    <x v="280"/>
    <s v="2023-05-16"/>
    <n v="262"/>
    <n v="607"/>
    <s v="Yes"/>
    <n v="0"/>
    <x v="14"/>
    <n v="0.248"/>
  </r>
  <r>
    <s v="LN0373"/>
    <s v="CU7550"/>
    <n v="34"/>
    <s v="Male"/>
    <x v="2"/>
    <x v="1"/>
    <n v="60325"/>
    <n v="260997"/>
    <x v="1"/>
    <n v="31.67"/>
    <n v="14818.38"/>
    <x v="4"/>
    <x v="1"/>
    <x v="90"/>
    <m/>
    <m/>
    <n v="690"/>
    <s v="Yes"/>
    <n v="40437.360000000001"/>
    <x v="2"/>
    <n v="0.248"/>
  </r>
  <r>
    <s v="LN0374"/>
    <s v="CU1916"/>
    <n v="42"/>
    <s v="Female"/>
    <x v="4"/>
    <x v="1"/>
    <n v="46598"/>
    <n v="461018"/>
    <x v="3"/>
    <n v="29.94"/>
    <n v="83683.81"/>
    <x v="0"/>
    <x v="0"/>
    <x v="289"/>
    <m/>
    <m/>
    <n v="691"/>
    <s v="Yes"/>
    <n v="0"/>
    <x v="18"/>
    <n v="0.248"/>
  </r>
  <r>
    <s v="LN0375"/>
    <s v="CU9591"/>
    <n v="23"/>
    <s v="Female"/>
    <x v="1"/>
    <x v="0"/>
    <n v="100676"/>
    <n v="268403"/>
    <x v="3"/>
    <n v="15.68"/>
    <n v="46801.79"/>
    <x v="1"/>
    <x v="3"/>
    <x v="290"/>
    <s v="2024-06-22"/>
    <n v="294"/>
    <n v="816"/>
    <s v="Yes"/>
    <n v="0"/>
    <x v="23"/>
    <n v="0.248"/>
  </r>
  <r>
    <s v="LN0376"/>
    <s v="CU2475"/>
    <n v="35"/>
    <s v="Female"/>
    <x v="2"/>
    <x v="1"/>
    <n v="53800"/>
    <n v="74305"/>
    <x v="4"/>
    <n v="13.98"/>
    <n v="6670.93"/>
    <x v="0"/>
    <x v="0"/>
    <x v="291"/>
    <m/>
    <m/>
    <n v="708"/>
    <s v="No"/>
    <n v="0"/>
    <x v="4"/>
    <n v="0.248"/>
  </r>
  <r>
    <s v="LN0377"/>
    <s v="CU7529"/>
    <n v="53"/>
    <s v="Female"/>
    <x v="0"/>
    <x v="0"/>
    <n v="141070"/>
    <n v="298232"/>
    <x v="3"/>
    <n v="23.71"/>
    <n v="53198.7"/>
    <x v="0"/>
    <x v="2"/>
    <x v="242"/>
    <s v="2024-06-08"/>
    <n v="315"/>
    <n v="836"/>
    <s v="No"/>
    <n v="0"/>
    <x v="4"/>
    <n v="0.248"/>
  </r>
  <r>
    <s v="LN0378"/>
    <s v="CU2173"/>
    <n v="38"/>
    <s v="Female"/>
    <x v="2"/>
    <x v="0"/>
    <n v="44499"/>
    <n v="357189"/>
    <x v="2"/>
    <n v="22.16"/>
    <n v="23505.26"/>
    <x v="2"/>
    <x v="2"/>
    <x v="292"/>
    <s v="2023-11-12"/>
    <n v="352"/>
    <n v="324"/>
    <s v="No"/>
    <n v="0"/>
    <x v="8"/>
    <n v="0.248"/>
  </r>
  <r>
    <s v="LN0379"/>
    <s v="CU3773"/>
    <n v="43"/>
    <s v="Female"/>
    <x v="1"/>
    <x v="0"/>
    <n v="130464"/>
    <n v="28528"/>
    <x v="3"/>
    <n v="16.79"/>
    <n v="4990.2"/>
    <x v="2"/>
    <x v="2"/>
    <x v="10"/>
    <s v="2022-07-22"/>
    <n v="115"/>
    <n v="355"/>
    <s v="No"/>
    <n v="0"/>
    <x v="3"/>
    <n v="0.248"/>
  </r>
  <r>
    <s v="LN0380"/>
    <s v="CU3419"/>
    <n v="39"/>
    <s v="Male"/>
    <x v="2"/>
    <x v="0"/>
    <n v="94984"/>
    <n v="240961"/>
    <x v="2"/>
    <n v="12.55"/>
    <n v="14755.93"/>
    <x v="3"/>
    <x v="2"/>
    <x v="145"/>
    <s v="2024-02-07"/>
    <n v="559"/>
    <n v="835"/>
    <s v="No"/>
    <n v="0"/>
    <x v="20"/>
    <n v="0.248"/>
  </r>
  <r>
    <s v="LN0381"/>
    <s v="CU9991"/>
    <n v="51"/>
    <s v="Male"/>
    <x v="3"/>
    <x v="1"/>
    <n v="26398"/>
    <n v="138932"/>
    <x v="3"/>
    <n v="13.44"/>
    <n v="24071.45"/>
    <x v="3"/>
    <x v="1"/>
    <x v="100"/>
    <m/>
    <m/>
    <n v="776"/>
    <s v="Yes"/>
    <n v="77569.97"/>
    <x v="2"/>
    <n v="0.248"/>
  </r>
  <r>
    <s v="LN0382"/>
    <s v="CU1136"/>
    <n v="25"/>
    <s v="Female"/>
    <x v="2"/>
    <x v="1"/>
    <n v="43283"/>
    <n v="15002"/>
    <x v="4"/>
    <n v="32.82"/>
    <n v="1483.39"/>
    <x v="1"/>
    <x v="2"/>
    <x v="293"/>
    <s v="2024-06-28"/>
    <n v="520"/>
    <n v="401"/>
    <s v="No"/>
    <n v="0"/>
    <x v="5"/>
    <n v="0.248"/>
  </r>
  <r>
    <s v="LN0383"/>
    <s v="CU8940"/>
    <n v="55"/>
    <s v="Male"/>
    <x v="0"/>
    <x v="0"/>
    <n v="146242"/>
    <n v="245116"/>
    <x v="1"/>
    <n v="34.229999999999997"/>
    <n v="14244.47"/>
    <x v="4"/>
    <x v="0"/>
    <x v="294"/>
    <m/>
    <m/>
    <n v="842"/>
    <s v="No"/>
    <n v="0"/>
    <x v="9"/>
    <n v="0.248"/>
  </r>
  <r>
    <s v="LN0384"/>
    <s v="CU9027"/>
    <n v="46"/>
    <s v="Male"/>
    <x v="3"/>
    <x v="1"/>
    <n v="107251"/>
    <n v="191320"/>
    <x v="4"/>
    <n v="17.670000000000002"/>
    <n v="17510.18"/>
    <x v="0"/>
    <x v="1"/>
    <x v="128"/>
    <m/>
    <m/>
    <n v="563"/>
    <s v="Yes"/>
    <n v="136807.98000000001"/>
    <x v="3"/>
    <n v="0.248"/>
  </r>
  <r>
    <s v="LN0385"/>
    <s v="CU1482"/>
    <n v="38"/>
    <s v="Male"/>
    <x v="0"/>
    <x v="1"/>
    <n v="117982"/>
    <n v="349421"/>
    <x v="3"/>
    <n v="14.11"/>
    <n v="60656.87"/>
    <x v="1"/>
    <x v="2"/>
    <x v="295"/>
    <s v="2023-07-05"/>
    <n v="123"/>
    <n v="456"/>
    <s v="No"/>
    <n v="0"/>
    <x v="10"/>
    <n v="0.248"/>
  </r>
  <r>
    <s v="LN0386"/>
    <s v="CU6118"/>
    <n v="42"/>
    <s v="Female"/>
    <x v="1"/>
    <x v="0"/>
    <n v="69200"/>
    <n v="347083"/>
    <x v="3"/>
    <n v="25.94"/>
    <n v="62301.760000000002"/>
    <x v="3"/>
    <x v="2"/>
    <x v="95"/>
    <s v="2024-05-02"/>
    <n v="536"/>
    <n v="438"/>
    <s v="No"/>
    <n v="0"/>
    <x v="8"/>
    <n v="0.248"/>
  </r>
  <r>
    <s v="LN0387"/>
    <s v="CU3378"/>
    <n v="31"/>
    <s v="Female"/>
    <x v="3"/>
    <x v="0"/>
    <n v="63269"/>
    <n v="171512"/>
    <x v="3"/>
    <n v="29.45"/>
    <n v="31090.29"/>
    <x v="2"/>
    <x v="3"/>
    <x v="177"/>
    <s v="2023-07-31"/>
    <n v="155"/>
    <n v="753"/>
    <s v="Yes"/>
    <n v="0"/>
    <x v="16"/>
    <n v="0.248"/>
  </r>
  <r>
    <s v="LN0388"/>
    <s v="CU5485"/>
    <n v="30"/>
    <s v="Male"/>
    <x v="3"/>
    <x v="0"/>
    <n v="63430"/>
    <n v="18735"/>
    <x v="1"/>
    <n v="26.81"/>
    <n v="1017.01"/>
    <x v="0"/>
    <x v="2"/>
    <x v="296"/>
    <s v="2023-12-30"/>
    <n v="118"/>
    <n v="536"/>
    <s v="No"/>
    <n v="0"/>
    <x v="23"/>
    <n v="0.248"/>
  </r>
  <r>
    <s v="LN0389"/>
    <s v="CU6886"/>
    <n v="26"/>
    <s v="Female"/>
    <x v="0"/>
    <x v="1"/>
    <n v="113031"/>
    <n v="101456"/>
    <x v="2"/>
    <n v="23.79"/>
    <n v="6756.92"/>
    <x v="3"/>
    <x v="2"/>
    <x v="297"/>
    <s v="2023-03-05"/>
    <n v="231"/>
    <n v="333"/>
    <s v="No"/>
    <n v="0"/>
    <x v="20"/>
    <n v="0.248"/>
  </r>
  <r>
    <s v="LN0390"/>
    <s v="CU1245"/>
    <n v="38"/>
    <s v="Female"/>
    <x v="0"/>
    <x v="0"/>
    <n v="68624"/>
    <n v="39674"/>
    <x v="3"/>
    <n v="34.25"/>
    <n v="7288.36"/>
    <x v="1"/>
    <x v="3"/>
    <x v="298"/>
    <s v="2024-02-27"/>
    <n v="83"/>
    <n v="768"/>
    <s v="Yes"/>
    <n v="0"/>
    <x v="21"/>
    <n v="0.248"/>
  </r>
  <r>
    <s v="LN0391"/>
    <s v="CU5043"/>
    <n v="48"/>
    <s v="Female"/>
    <x v="3"/>
    <x v="1"/>
    <n v="97024"/>
    <n v="211648"/>
    <x v="1"/>
    <n v="34.54"/>
    <n v="12334.05"/>
    <x v="0"/>
    <x v="0"/>
    <x v="299"/>
    <m/>
    <m/>
    <n v="411"/>
    <s v="No"/>
    <n v="0"/>
    <x v="15"/>
    <n v="0.248"/>
  </r>
  <r>
    <s v="LN0392"/>
    <s v="CU1694"/>
    <n v="36"/>
    <s v="Female"/>
    <x v="3"/>
    <x v="1"/>
    <n v="27922"/>
    <n v="104536"/>
    <x v="4"/>
    <n v="22.55"/>
    <n v="9811.67"/>
    <x v="2"/>
    <x v="1"/>
    <x v="300"/>
    <m/>
    <m/>
    <n v="470"/>
    <s v="Yes"/>
    <n v="41367.35"/>
    <x v="17"/>
    <n v="0.248"/>
  </r>
  <r>
    <s v="LN0393"/>
    <s v="CU1893"/>
    <n v="54"/>
    <s v="Male"/>
    <x v="4"/>
    <x v="1"/>
    <n v="38708"/>
    <n v="383875"/>
    <x v="1"/>
    <n v="14.72"/>
    <n v="18561.78"/>
    <x v="0"/>
    <x v="2"/>
    <x v="301"/>
    <s v="2023-09-06"/>
    <n v="211"/>
    <n v="631"/>
    <s v="No"/>
    <n v="0"/>
    <x v="16"/>
    <n v="0.248"/>
  </r>
  <r>
    <s v="LN0394"/>
    <s v="CU3930"/>
    <n v="50"/>
    <s v="Male"/>
    <x v="4"/>
    <x v="0"/>
    <n v="80557"/>
    <n v="174908"/>
    <x v="3"/>
    <n v="29.24"/>
    <n v="31687.32"/>
    <x v="4"/>
    <x v="0"/>
    <x v="302"/>
    <m/>
    <m/>
    <n v="760"/>
    <s v="No"/>
    <n v="0"/>
    <x v="13"/>
    <n v="0.248"/>
  </r>
  <r>
    <s v="LN0395"/>
    <s v="CU2397"/>
    <n v="54"/>
    <s v="Female"/>
    <x v="1"/>
    <x v="0"/>
    <n v="114268"/>
    <n v="293539"/>
    <x v="2"/>
    <n v="13.05"/>
    <n v="18044.11"/>
    <x v="3"/>
    <x v="1"/>
    <x v="178"/>
    <m/>
    <m/>
    <n v="453"/>
    <s v="Yes"/>
    <n v="62666.720000000001"/>
    <x v="0"/>
    <n v="0.248"/>
  </r>
  <r>
    <s v="LN0396"/>
    <s v="CU3369"/>
    <n v="32"/>
    <s v="Male"/>
    <x v="4"/>
    <x v="1"/>
    <n v="96138"/>
    <n v="387815"/>
    <x v="2"/>
    <n v="18.93"/>
    <n v="24917.11"/>
    <x v="3"/>
    <x v="0"/>
    <x v="303"/>
    <m/>
    <m/>
    <n v="507"/>
    <s v="Yes"/>
    <n v="0"/>
    <x v="11"/>
    <n v="0.248"/>
  </r>
  <r>
    <s v="LN0397"/>
    <s v="CU5146"/>
    <n v="21"/>
    <s v="Female"/>
    <x v="4"/>
    <x v="1"/>
    <n v="16507"/>
    <n v="323758"/>
    <x v="2"/>
    <n v="17.71"/>
    <n v="20612.900000000001"/>
    <x v="0"/>
    <x v="3"/>
    <x v="304"/>
    <s v="2023-11-05"/>
    <n v="209"/>
    <n v="752"/>
    <s v="Yes"/>
    <n v="0"/>
    <x v="17"/>
    <n v="0.248"/>
  </r>
  <r>
    <s v="LN0398"/>
    <s v="CU2300"/>
    <n v="21"/>
    <s v="Male"/>
    <x v="1"/>
    <x v="1"/>
    <n v="69430"/>
    <n v="30647"/>
    <x v="3"/>
    <n v="15.56"/>
    <n v="5342.13"/>
    <x v="2"/>
    <x v="0"/>
    <x v="305"/>
    <m/>
    <m/>
    <n v="333"/>
    <s v="No"/>
    <n v="0"/>
    <x v="11"/>
    <n v="0.248"/>
  </r>
  <r>
    <s v="LN0399"/>
    <s v="CU5889"/>
    <n v="42"/>
    <s v="Male"/>
    <x v="3"/>
    <x v="0"/>
    <n v="124302"/>
    <n v="98453"/>
    <x v="3"/>
    <n v="28.13"/>
    <n v="17781.099999999999"/>
    <x v="0"/>
    <x v="2"/>
    <x v="31"/>
    <s v="2024-04-29"/>
    <n v="383"/>
    <n v="668"/>
    <s v="No"/>
    <n v="0"/>
    <x v="17"/>
    <n v="0.248"/>
  </r>
  <r>
    <s v="LN0400"/>
    <s v="CU2525"/>
    <n v="40"/>
    <s v="Female"/>
    <x v="2"/>
    <x v="1"/>
    <n v="32738"/>
    <n v="402642"/>
    <x v="2"/>
    <n v="32.24"/>
    <n v="28505.56"/>
    <x v="4"/>
    <x v="1"/>
    <x v="306"/>
    <m/>
    <m/>
    <n v="437"/>
    <s v="Yes"/>
    <n v="74656.37"/>
    <x v="17"/>
    <n v="0.248"/>
  </r>
  <r>
    <s v="LN0401"/>
    <s v="CU5496"/>
    <n v="42"/>
    <s v="Female"/>
    <x v="1"/>
    <x v="0"/>
    <n v="69801"/>
    <n v="325892"/>
    <x v="0"/>
    <n v="14.62"/>
    <n v="111288.32000000001"/>
    <x v="0"/>
    <x v="0"/>
    <x v="251"/>
    <m/>
    <m/>
    <n v="594"/>
    <s v="No"/>
    <n v="0"/>
    <x v="22"/>
    <n v="0.248"/>
  </r>
  <r>
    <s v="LN0402"/>
    <s v="CU6185"/>
    <n v="37"/>
    <s v="Female"/>
    <x v="0"/>
    <x v="1"/>
    <n v="145479"/>
    <n v="263214"/>
    <x v="3"/>
    <n v="33.21"/>
    <n v="48214.879999999997"/>
    <x v="3"/>
    <x v="1"/>
    <x v="307"/>
    <m/>
    <m/>
    <n v="301"/>
    <s v="Yes"/>
    <n v="48101.04"/>
    <x v="20"/>
    <n v="0.248"/>
  </r>
  <r>
    <s v="LN0403"/>
    <s v="CU8616"/>
    <n v="28"/>
    <s v="Male"/>
    <x v="1"/>
    <x v="1"/>
    <n v="123538"/>
    <n v="28851"/>
    <x v="4"/>
    <n v="20.39"/>
    <n v="2677.99"/>
    <x v="3"/>
    <x v="0"/>
    <x v="185"/>
    <m/>
    <m/>
    <n v="506"/>
    <s v="No"/>
    <n v="0"/>
    <x v="18"/>
    <n v="0.248"/>
  </r>
  <r>
    <s v="LN0404"/>
    <s v="CU5168"/>
    <n v="25"/>
    <s v="Female"/>
    <x v="2"/>
    <x v="1"/>
    <n v="16607"/>
    <n v="64683"/>
    <x v="4"/>
    <n v="20.190000000000001"/>
    <n v="5997.76"/>
    <x v="0"/>
    <x v="0"/>
    <x v="65"/>
    <m/>
    <m/>
    <n v="498"/>
    <s v="No"/>
    <n v="0"/>
    <x v="7"/>
    <n v="0.248"/>
  </r>
  <r>
    <s v="LN0405"/>
    <s v="CU6536"/>
    <n v="51"/>
    <s v="Female"/>
    <x v="3"/>
    <x v="0"/>
    <n v="141221"/>
    <n v="86467"/>
    <x v="2"/>
    <n v="33.409999999999997"/>
    <n v="6172.74"/>
    <x v="0"/>
    <x v="1"/>
    <x v="308"/>
    <m/>
    <m/>
    <n v="723"/>
    <s v="Yes"/>
    <n v="64802.95"/>
    <x v="17"/>
    <n v="0.248"/>
  </r>
  <r>
    <s v="LN0406"/>
    <s v="CU1917"/>
    <n v="54"/>
    <s v="Female"/>
    <x v="1"/>
    <x v="1"/>
    <n v="19906"/>
    <n v="114189"/>
    <x v="1"/>
    <n v="28.45"/>
    <n v="6293.88"/>
    <x v="2"/>
    <x v="0"/>
    <x v="309"/>
    <m/>
    <m/>
    <n v="587"/>
    <s v="No"/>
    <n v="0"/>
    <x v="7"/>
    <n v="0.248"/>
  </r>
  <r>
    <s v="LN0407"/>
    <s v="CU6556"/>
    <n v="45"/>
    <s v="Male"/>
    <x v="1"/>
    <x v="1"/>
    <n v="64120"/>
    <n v="317051"/>
    <x v="0"/>
    <n v="32.75"/>
    <n v="111504"/>
    <x v="2"/>
    <x v="1"/>
    <x v="58"/>
    <m/>
    <m/>
    <n v="332"/>
    <s v="Yes"/>
    <n v="91960.07"/>
    <x v="21"/>
    <n v="0.248"/>
  </r>
  <r>
    <s v="LN0408"/>
    <s v="CU2422"/>
    <n v="52"/>
    <s v="Male"/>
    <x v="2"/>
    <x v="1"/>
    <n v="94332"/>
    <n v="118319"/>
    <x v="1"/>
    <n v="19.260000000000002"/>
    <n v="5979.25"/>
    <x v="4"/>
    <x v="1"/>
    <x v="90"/>
    <m/>
    <m/>
    <n v="506"/>
    <s v="Yes"/>
    <n v="87478.88"/>
    <x v="2"/>
    <n v="0.248"/>
  </r>
  <r>
    <s v="LN0409"/>
    <s v="CU8270"/>
    <n v="53"/>
    <s v="Male"/>
    <x v="4"/>
    <x v="0"/>
    <n v="64862"/>
    <n v="183318"/>
    <x v="2"/>
    <n v="29.58"/>
    <n v="12733.27"/>
    <x v="0"/>
    <x v="1"/>
    <x v="310"/>
    <m/>
    <m/>
    <n v="446"/>
    <s v="Yes"/>
    <n v="117073.65"/>
    <x v="19"/>
    <n v="0.248"/>
  </r>
  <r>
    <s v="LN0410"/>
    <s v="CU2609"/>
    <n v="54"/>
    <s v="Male"/>
    <x v="0"/>
    <x v="0"/>
    <n v="135420"/>
    <n v="208207"/>
    <x v="1"/>
    <n v="14.78"/>
    <n v="10073.51"/>
    <x v="2"/>
    <x v="0"/>
    <x v="311"/>
    <m/>
    <m/>
    <n v="389"/>
    <s v="No"/>
    <n v="0"/>
    <x v="21"/>
    <n v="0.248"/>
  </r>
  <r>
    <s v="LN0411"/>
    <s v="CU1755"/>
    <n v="27"/>
    <s v="Female"/>
    <x v="3"/>
    <x v="1"/>
    <n v="70009"/>
    <n v="173233"/>
    <x v="3"/>
    <n v="16.62"/>
    <n v="30287.79"/>
    <x v="2"/>
    <x v="1"/>
    <x v="312"/>
    <m/>
    <m/>
    <n v="420"/>
    <s v="Yes"/>
    <n v="50386.19"/>
    <x v="10"/>
    <n v="0.248"/>
  </r>
  <r>
    <s v="LN0412"/>
    <s v="CU3580"/>
    <n v="38"/>
    <s v="Male"/>
    <x v="3"/>
    <x v="0"/>
    <n v="69153"/>
    <n v="289441"/>
    <x v="4"/>
    <n v="25.18"/>
    <n v="27534.98"/>
    <x v="2"/>
    <x v="2"/>
    <x v="313"/>
    <s v="2024-03-04"/>
    <n v="72"/>
    <n v="550"/>
    <s v="No"/>
    <n v="0"/>
    <x v="21"/>
    <n v="0.248"/>
  </r>
  <r>
    <s v="LN0413"/>
    <s v="CU6101"/>
    <n v="42"/>
    <s v="Female"/>
    <x v="3"/>
    <x v="0"/>
    <n v="22600"/>
    <n v="251801"/>
    <x v="0"/>
    <n v="14.54"/>
    <n v="85975.82"/>
    <x v="4"/>
    <x v="0"/>
    <x v="229"/>
    <m/>
    <m/>
    <n v="701"/>
    <s v="No"/>
    <n v="0"/>
    <x v="10"/>
    <n v="0.248"/>
  </r>
  <r>
    <s v="LN0414"/>
    <s v="CU8304"/>
    <n v="43"/>
    <s v="Female"/>
    <x v="2"/>
    <x v="0"/>
    <n v="35590"/>
    <n v="488804"/>
    <x v="2"/>
    <n v="25.63"/>
    <n v="32994.93"/>
    <x v="4"/>
    <x v="3"/>
    <x v="166"/>
    <s v="2023-07-20"/>
    <n v="466"/>
    <n v="617"/>
    <s v="Yes"/>
    <n v="0"/>
    <x v="13"/>
    <n v="0.248"/>
  </r>
  <r>
    <s v="LN0415"/>
    <s v="CU8625"/>
    <n v="51"/>
    <s v="Male"/>
    <x v="0"/>
    <x v="0"/>
    <n v="82646"/>
    <n v="483602"/>
    <x v="4"/>
    <n v="21.41"/>
    <n v="45125.22"/>
    <x v="2"/>
    <x v="1"/>
    <x v="304"/>
    <m/>
    <m/>
    <n v="799"/>
    <s v="Yes"/>
    <n v="58605.26"/>
    <x v="17"/>
    <n v="0.248"/>
  </r>
  <r>
    <s v="LN0416"/>
    <s v="CU8787"/>
    <n v="28"/>
    <s v="Female"/>
    <x v="4"/>
    <x v="1"/>
    <n v="59774"/>
    <n v="152984"/>
    <x v="4"/>
    <n v="26.51"/>
    <n v="14652.57"/>
    <x v="3"/>
    <x v="0"/>
    <x v="29"/>
    <m/>
    <m/>
    <n v="409"/>
    <s v="No"/>
    <n v="0"/>
    <x v="16"/>
    <n v="0.248"/>
  </r>
  <r>
    <s v="LN0417"/>
    <s v="CU2162"/>
    <n v="40"/>
    <s v="Female"/>
    <x v="4"/>
    <x v="1"/>
    <n v="77541"/>
    <n v="330517"/>
    <x v="3"/>
    <n v="25.15"/>
    <n v="59196.79"/>
    <x v="1"/>
    <x v="3"/>
    <x v="212"/>
    <s v="2023-02-20"/>
    <n v="348"/>
    <n v="513"/>
    <s v="Yes"/>
    <n v="0"/>
    <x v="3"/>
    <n v="0.248"/>
  </r>
  <r>
    <s v="LN0418"/>
    <s v="CU8063"/>
    <n v="48"/>
    <s v="Female"/>
    <x v="1"/>
    <x v="0"/>
    <n v="60373"/>
    <n v="352399"/>
    <x v="0"/>
    <n v="29.74"/>
    <n v="123336.26"/>
    <x v="0"/>
    <x v="3"/>
    <x v="314"/>
    <s v="2023-12-25"/>
    <n v="606"/>
    <n v="774"/>
    <s v="Yes"/>
    <n v="0"/>
    <x v="13"/>
    <n v="0.248"/>
  </r>
  <r>
    <s v="LN0419"/>
    <s v="CU6330"/>
    <n v="27"/>
    <s v="Female"/>
    <x v="0"/>
    <x v="1"/>
    <n v="121376"/>
    <n v="41494"/>
    <x v="1"/>
    <n v="14.61"/>
    <n v="2004.22"/>
    <x v="0"/>
    <x v="3"/>
    <x v="310"/>
    <s v="2024-04-21"/>
    <n v="506"/>
    <n v="362"/>
    <s v="Yes"/>
    <n v="0"/>
    <x v="19"/>
    <n v="0.248"/>
  </r>
  <r>
    <s v="LN0420"/>
    <s v="CU2483"/>
    <n v="34"/>
    <s v="Male"/>
    <x v="1"/>
    <x v="0"/>
    <n v="53463"/>
    <n v="351492"/>
    <x v="3"/>
    <n v="22.87"/>
    <n v="62551.13"/>
    <x v="2"/>
    <x v="3"/>
    <x v="315"/>
    <s v="2024-05-08"/>
    <n v="228"/>
    <n v="500"/>
    <s v="Yes"/>
    <n v="0"/>
    <x v="23"/>
    <n v="0.248"/>
  </r>
  <r>
    <s v="LN0421"/>
    <s v="CU4369"/>
    <n v="41"/>
    <s v="Female"/>
    <x v="1"/>
    <x v="1"/>
    <n v="128961"/>
    <n v="381329"/>
    <x v="4"/>
    <n v="35.770000000000003"/>
    <n v="38265.29"/>
    <x v="0"/>
    <x v="0"/>
    <x v="115"/>
    <m/>
    <m/>
    <n v="822"/>
    <s v="No"/>
    <n v="0"/>
    <x v="23"/>
    <n v="0.248"/>
  </r>
  <r>
    <s v="LN0422"/>
    <s v="CU3089"/>
    <n v="39"/>
    <s v="Male"/>
    <x v="2"/>
    <x v="0"/>
    <n v="15221"/>
    <n v="373760"/>
    <x v="1"/>
    <n v="31.7"/>
    <n v="21226.43"/>
    <x v="2"/>
    <x v="0"/>
    <x v="316"/>
    <m/>
    <m/>
    <n v="331"/>
    <s v="No"/>
    <n v="0"/>
    <x v="6"/>
    <n v="0.248"/>
  </r>
  <r>
    <s v="LN0423"/>
    <s v="CU7459"/>
    <n v="41"/>
    <s v="Female"/>
    <x v="4"/>
    <x v="1"/>
    <n v="129082"/>
    <n v="290799"/>
    <x v="3"/>
    <n v="27.9"/>
    <n v="52485.98"/>
    <x v="1"/>
    <x v="2"/>
    <x v="317"/>
    <s v="2024-01-31"/>
    <n v="568"/>
    <n v="693"/>
    <s v="No"/>
    <n v="0"/>
    <x v="20"/>
    <n v="0.248"/>
  </r>
  <r>
    <s v="LN0424"/>
    <s v="CU6902"/>
    <n v="47"/>
    <s v="Male"/>
    <x v="2"/>
    <x v="0"/>
    <n v="50200"/>
    <n v="11083"/>
    <x v="0"/>
    <n v="27.56"/>
    <n v="3865.31"/>
    <x v="3"/>
    <x v="3"/>
    <x v="284"/>
    <s v="2024-02-24"/>
    <n v="111"/>
    <n v="439"/>
    <s v="Yes"/>
    <n v="0"/>
    <x v="12"/>
    <n v="0.248"/>
  </r>
  <r>
    <s v="LN0425"/>
    <s v="CU2387"/>
    <n v="29"/>
    <s v="Female"/>
    <x v="4"/>
    <x v="1"/>
    <n v="62132"/>
    <n v="243233"/>
    <x v="1"/>
    <n v="22.18"/>
    <n v="12640.11"/>
    <x v="1"/>
    <x v="3"/>
    <x v="318"/>
    <s v="2023-08-18"/>
    <n v="231"/>
    <n v="490"/>
    <s v="Yes"/>
    <n v="0"/>
    <x v="19"/>
    <n v="0.248"/>
  </r>
  <r>
    <s v="LN0426"/>
    <s v="CU7959"/>
    <n v="21"/>
    <s v="Female"/>
    <x v="0"/>
    <x v="1"/>
    <n v="122698"/>
    <n v="490786"/>
    <x v="1"/>
    <n v="25.83"/>
    <n v="26398.82"/>
    <x v="4"/>
    <x v="0"/>
    <x v="201"/>
    <m/>
    <m/>
    <n v="794"/>
    <s v="No"/>
    <n v="0"/>
    <x v="0"/>
    <n v="0.248"/>
  </r>
  <r>
    <s v="LN0427"/>
    <s v="CU2854"/>
    <n v="51"/>
    <s v="Male"/>
    <x v="0"/>
    <x v="1"/>
    <n v="136880"/>
    <n v="276030"/>
    <x v="0"/>
    <n v="24.56"/>
    <n v="95801.71"/>
    <x v="0"/>
    <x v="0"/>
    <x v="319"/>
    <m/>
    <m/>
    <n v="783"/>
    <s v="No"/>
    <n v="0"/>
    <x v="9"/>
    <n v="0.248"/>
  </r>
  <r>
    <s v="LN0428"/>
    <s v="CU2279"/>
    <n v="55"/>
    <s v="Female"/>
    <x v="1"/>
    <x v="0"/>
    <n v="105058"/>
    <n v="285511"/>
    <x v="0"/>
    <n v="23.25"/>
    <n v="98881.77"/>
    <x v="0"/>
    <x v="3"/>
    <x v="320"/>
    <s v="2024-01-27"/>
    <n v="169"/>
    <n v="731"/>
    <s v="Yes"/>
    <n v="0"/>
    <x v="0"/>
    <n v="0.248"/>
  </r>
  <r>
    <s v="LN0429"/>
    <s v="CU6782"/>
    <n v="39"/>
    <s v="Female"/>
    <x v="0"/>
    <x v="0"/>
    <n v="94710"/>
    <n v="386142"/>
    <x v="1"/>
    <n v="18.25"/>
    <n v="19324.47"/>
    <x v="1"/>
    <x v="2"/>
    <x v="138"/>
    <s v="2023-09-05"/>
    <n v="26"/>
    <n v="598"/>
    <s v="No"/>
    <n v="0"/>
    <x v="0"/>
    <n v="0.248"/>
  </r>
  <r>
    <s v="LN0430"/>
    <s v="CU1447"/>
    <n v="39"/>
    <s v="Female"/>
    <x v="3"/>
    <x v="0"/>
    <n v="147538"/>
    <n v="45297"/>
    <x v="4"/>
    <n v="18.05"/>
    <n v="4153.91"/>
    <x v="0"/>
    <x v="1"/>
    <x v="321"/>
    <m/>
    <m/>
    <n v="563"/>
    <s v="Yes"/>
    <n v="4980.05"/>
    <x v="6"/>
    <n v="0.248"/>
  </r>
  <r>
    <s v="LN0431"/>
    <s v="CU2827"/>
    <n v="32"/>
    <s v="Male"/>
    <x v="4"/>
    <x v="1"/>
    <n v="60979"/>
    <n v="141971"/>
    <x v="3"/>
    <n v="23.64"/>
    <n v="25319.83"/>
    <x v="0"/>
    <x v="0"/>
    <x v="322"/>
    <m/>
    <m/>
    <n v="386"/>
    <s v="No"/>
    <n v="0"/>
    <x v="19"/>
    <n v="0.248"/>
  </r>
  <r>
    <s v="LN0432"/>
    <s v="CU3525"/>
    <n v="52"/>
    <s v="Female"/>
    <x v="4"/>
    <x v="0"/>
    <n v="130391"/>
    <n v="385632"/>
    <x v="3"/>
    <n v="17.059999999999999"/>
    <n v="67507.679999999993"/>
    <x v="2"/>
    <x v="0"/>
    <x v="323"/>
    <m/>
    <m/>
    <n v="570"/>
    <s v="No"/>
    <n v="0"/>
    <x v="18"/>
    <n v="0.248"/>
  </r>
  <r>
    <s v="LN0433"/>
    <s v="CU2900"/>
    <n v="24"/>
    <s v="Male"/>
    <x v="4"/>
    <x v="1"/>
    <n v="139841"/>
    <n v="163003"/>
    <x v="2"/>
    <n v="29.91"/>
    <n v="11349.09"/>
    <x v="0"/>
    <x v="2"/>
    <x v="324"/>
    <s v="2024-02-27"/>
    <n v="399"/>
    <n v="785"/>
    <s v="No"/>
    <n v="0"/>
    <x v="5"/>
    <n v="0.248"/>
  </r>
  <r>
    <s v="LN0434"/>
    <s v="CU9690"/>
    <n v="48"/>
    <s v="Male"/>
    <x v="2"/>
    <x v="1"/>
    <n v="115140"/>
    <n v="360725"/>
    <x v="4"/>
    <n v="35.08"/>
    <n v="36073.53"/>
    <x v="4"/>
    <x v="0"/>
    <x v="325"/>
    <m/>
    <m/>
    <n v="662"/>
    <s v="No"/>
    <n v="0"/>
    <x v="15"/>
    <n v="0.248"/>
  </r>
  <r>
    <s v="LN0435"/>
    <s v="CU8074"/>
    <n v="38"/>
    <s v="Female"/>
    <x v="2"/>
    <x v="1"/>
    <n v="40762"/>
    <n v="138873"/>
    <x v="1"/>
    <n v="21.39"/>
    <n v="7162.71"/>
    <x v="3"/>
    <x v="2"/>
    <x v="261"/>
    <s v="2023-12-06"/>
    <n v="172"/>
    <n v="484"/>
    <s v="No"/>
    <n v="0"/>
    <x v="15"/>
    <n v="0.248"/>
  </r>
  <r>
    <s v="LN0436"/>
    <s v="CU1173"/>
    <n v="21"/>
    <s v="Male"/>
    <x v="3"/>
    <x v="1"/>
    <n v="40611"/>
    <n v="280389"/>
    <x v="0"/>
    <n v="28.45"/>
    <n v="97929.31"/>
    <x v="2"/>
    <x v="2"/>
    <x v="30"/>
    <s v="2023-07-02"/>
    <n v="257"/>
    <n v="497"/>
    <s v="Yes"/>
    <n v="0"/>
    <x v="6"/>
    <n v="0.248"/>
  </r>
  <r>
    <s v="LN0437"/>
    <s v="CU2506"/>
    <n v="24"/>
    <s v="Male"/>
    <x v="1"/>
    <x v="0"/>
    <n v="46451"/>
    <n v="50291"/>
    <x v="1"/>
    <n v="15.12"/>
    <n v="2441.31"/>
    <x v="0"/>
    <x v="2"/>
    <x v="102"/>
    <s v="2024-04-05"/>
    <n v="712"/>
    <n v="488"/>
    <s v="No"/>
    <n v="0"/>
    <x v="13"/>
    <n v="0.248"/>
  </r>
  <r>
    <s v="LN0438"/>
    <s v="CU8650"/>
    <n v="25"/>
    <s v="Female"/>
    <x v="2"/>
    <x v="1"/>
    <n v="99778"/>
    <n v="139918"/>
    <x v="3"/>
    <n v="30.74"/>
    <n v="25454.52"/>
    <x v="2"/>
    <x v="0"/>
    <x v="98"/>
    <m/>
    <m/>
    <n v="697"/>
    <s v="No"/>
    <n v="0"/>
    <x v="5"/>
    <n v="0.248"/>
  </r>
  <r>
    <s v="LN0439"/>
    <s v="CU1984"/>
    <n v="37"/>
    <s v="Female"/>
    <x v="0"/>
    <x v="1"/>
    <n v="33192"/>
    <n v="262803"/>
    <x v="3"/>
    <n v="26.65"/>
    <n v="47267.38"/>
    <x v="3"/>
    <x v="3"/>
    <x v="164"/>
    <s v="2022-09-16"/>
    <n v="147"/>
    <n v="741"/>
    <s v="Yes"/>
    <n v="0"/>
    <x v="13"/>
    <n v="0.248"/>
  </r>
  <r>
    <s v="LN0440"/>
    <s v="CU4578"/>
    <n v="27"/>
    <s v="Female"/>
    <x v="2"/>
    <x v="0"/>
    <n v="24138"/>
    <n v="43230"/>
    <x v="0"/>
    <n v="25.71"/>
    <n v="15031.83"/>
    <x v="2"/>
    <x v="3"/>
    <x v="326"/>
    <s v="2023-06-13"/>
    <n v="509"/>
    <n v="452"/>
    <s v="Yes"/>
    <n v="0"/>
    <x v="1"/>
    <n v="0.248"/>
  </r>
  <r>
    <s v="LN0441"/>
    <s v="CU1014"/>
    <n v="23"/>
    <s v="Female"/>
    <x v="2"/>
    <x v="0"/>
    <n v="101463"/>
    <n v="479280"/>
    <x v="2"/>
    <n v="25.79"/>
    <n v="32389.79"/>
    <x v="0"/>
    <x v="3"/>
    <x v="327"/>
    <s v="2023-12-14"/>
    <n v="223"/>
    <n v="713"/>
    <s v="Yes"/>
    <n v="0"/>
    <x v="22"/>
    <n v="0.248"/>
  </r>
  <r>
    <s v="LN0442"/>
    <s v="CU2148"/>
    <n v="55"/>
    <s v="Male"/>
    <x v="3"/>
    <x v="1"/>
    <n v="141370"/>
    <n v="68545"/>
    <x v="1"/>
    <n v="24.85"/>
    <n v="3653.19"/>
    <x v="2"/>
    <x v="1"/>
    <x v="162"/>
    <m/>
    <m/>
    <n v="610"/>
    <s v="Yes"/>
    <n v="26076.6"/>
    <x v="12"/>
    <n v="0.248"/>
  </r>
  <r>
    <s v="LN0443"/>
    <s v="CU2485"/>
    <n v="44"/>
    <s v="Female"/>
    <x v="3"/>
    <x v="1"/>
    <n v="91010"/>
    <n v="344629"/>
    <x v="3"/>
    <n v="16.239999999999998"/>
    <n v="60189.29"/>
    <x v="4"/>
    <x v="3"/>
    <x v="328"/>
    <s v="2023-12-26"/>
    <n v="48"/>
    <n v="606"/>
    <s v="Yes"/>
    <n v="0"/>
    <x v="12"/>
    <n v="0.248"/>
  </r>
  <r>
    <s v="LN0444"/>
    <s v="CU7391"/>
    <n v="27"/>
    <s v="Female"/>
    <x v="4"/>
    <x v="0"/>
    <n v="129814"/>
    <n v="390521"/>
    <x v="3"/>
    <n v="15.36"/>
    <n v="68033.63"/>
    <x v="3"/>
    <x v="0"/>
    <x v="126"/>
    <m/>
    <m/>
    <n v="544"/>
    <s v="No"/>
    <n v="0"/>
    <x v="0"/>
    <n v="0.248"/>
  </r>
  <r>
    <s v="LN0445"/>
    <s v="CU2032"/>
    <n v="55"/>
    <s v="Female"/>
    <x v="4"/>
    <x v="1"/>
    <n v="19303"/>
    <n v="24421"/>
    <x v="4"/>
    <n v="13.35"/>
    <n v="2185.23"/>
    <x v="4"/>
    <x v="3"/>
    <x v="329"/>
    <s v="2022-12-04"/>
    <n v="216"/>
    <n v="835"/>
    <s v="Yes"/>
    <n v="0"/>
    <x v="11"/>
    <n v="0.248"/>
  </r>
  <r>
    <s v="LN0446"/>
    <s v="CU8509"/>
    <n v="55"/>
    <s v="Male"/>
    <x v="1"/>
    <x v="0"/>
    <n v="33883"/>
    <n v="24334"/>
    <x v="3"/>
    <n v="23.73"/>
    <n v="4340.95"/>
    <x v="4"/>
    <x v="3"/>
    <x v="330"/>
    <s v="2023-10-19"/>
    <n v="23"/>
    <n v="548"/>
    <s v="Yes"/>
    <n v="0"/>
    <x v="23"/>
    <n v="0.248"/>
  </r>
  <r>
    <s v="LN0447"/>
    <s v="CU3138"/>
    <n v="21"/>
    <s v="Male"/>
    <x v="3"/>
    <x v="1"/>
    <n v="40504"/>
    <n v="244172"/>
    <x v="1"/>
    <n v="16.100000000000001"/>
    <n v="11967.09"/>
    <x v="0"/>
    <x v="0"/>
    <x v="331"/>
    <m/>
    <m/>
    <n v="416"/>
    <s v="No"/>
    <n v="0"/>
    <x v="13"/>
    <n v="0.248"/>
  </r>
  <r>
    <s v="LN0448"/>
    <s v="CU4613"/>
    <n v="25"/>
    <s v="Male"/>
    <x v="4"/>
    <x v="1"/>
    <n v="120384"/>
    <n v="174992"/>
    <x v="0"/>
    <n v="35.42"/>
    <n v="61807.51"/>
    <x v="0"/>
    <x v="2"/>
    <x v="222"/>
    <s v="2023-07-02"/>
    <n v="218"/>
    <n v="346"/>
    <s v="No"/>
    <n v="0"/>
    <x v="8"/>
    <n v="0.248"/>
  </r>
  <r>
    <s v="LN0449"/>
    <s v="CU6496"/>
    <n v="25"/>
    <s v="Male"/>
    <x v="2"/>
    <x v="0"/>
    <n v="123830"/>
    <n v="93107"/>
    <x v="4"/>
    <n v="25.28"/>
    <n v="8861.94"/>
    <x v="1"/>
    <x v="2"/>
    <x v="332"/>
    <s v="2023-09-08"/>
    <n v="20"/>
    <n v="436"/>
    <s v="Yes"/>
    <n v="0"/>
    <x v="0"/>
    <n v="0.248"/>
  </r>
  <r>
    <s v="LN0450"/>
    <s v="CU7162"/>
    <n v="31"/>
    <s v="Male"/>
    <x v="4"/>
    <x v="0"/>
    <n v="16664"/>
    <n v="8787"/>
    <x v="3"/>
    <n v="34.229999999999997"/>
    <n v="1614.14"/>
    <x v="0"/>
    <x v="1"/>
    <x v="333"/>
    <m/>
    <m/>
    <n v="787"/>
    <s v="Yes"/>
    <n v="5137.33"/>
    <x v="10"/>
    <n v="0.248"/>
  </r>
  <r>
    <s v="LN0451"/>
    <s v="CU4377"/>
    <n v="30"/>
    <s v="Female"/>
    <x v="1"/>
    <x v="1"/>
    <n v="123011"/>
    <n v="130437"/>
    <x v="3"/>
    <n v="26.65"/>
    <n v="23460.21"/>
    <x v="4"/>
    <x v="2"/>
    <x v="183"/>
    <s v="2024-04-04"/>
    <n v="313"/>
    <n v="390"/>
    <s v="No"/>
    <n v="0"/>
    <x v="22"/>
    <n v="0.248"/>
  </r>
  <r>
    <s v="LN0452"/>
    <s v="CU5934"/>
    <n v="43"/>
    <s v="Female"/>
    <x v="3"/>
    <x v="0"/>
    <n v="65306"/>
    <n v="66607"/>
    <x v="1"/>
    <n v="35.44"/>
    <n v="3913.23"/>
    <x v="0"/>
    <x v="1"/>
    <x v="334"/>
    <m/>
    <m/>
    <n v="819"/>
    <s v="Yes"/>
    <n v="16884.43"/>
    <x v="4"/>
    <n v="0.248"/>
  </r>
  <r>
    <s v="LN0453"/>
    <s v="CU4409"/>
    <n v="38"/>
    <s v="Male"/>
    <x v="0"/>
    <x v="0"/>
    <n v="54116"/>
    <n v="364265"/>
    <x v="2"/>
    <n v="23.94"/>
    <n v="24286.560000000001"/>
    <x v="3"/>
    <x v="0"/>
    <x v="335"/>
    <m/>
    <m/>
    <n v="672"/>
    <s v="No"/>
    <n v="0"/>
    <x v="2"/>
    <n v="0.248"/>
  </r>
  <r>
    <s v="LN0454"/>
    <s v="CU8121"/>
    <n v="37"/>
    <s v="Female"/>
    <x v="1"/>
    <x v="1"/>
    <n v="26355"/>
    <n v="59746"/>
    <x v="0"/>
    <n v="34.200000000000003"/>
    <n v="21061.14"/>
    <x v="3"/>
    <x v="2"/>
    <x v="42"/>
    <s v="2023-06-10"/>
    <n v="496"/>
    <n v="827"/>
    <s v="Yes"/>
    <n v="0"/>
    <x v="1"/>
    <n v="0.248"/>
  </r>
  <r>
    <s v="LN0455"/>
    <s v="CU4855"/>
    <n v="49"/>
    <s v="Female"/>
    <x v="4"/>
    <x v="0"/>
    <n v="100376"/>
    <n v="125619"/>
    <x v="0"/>
    <n v="19.829999999999998"/>
    <n v="43264.46"/>
    <x v="4"/>
    <x v="2"/>
    <x v="150"/>
    <s v="2024-05-17"/>
    <n v="445"/>
    <n v="504"/>
    <s v="No"/>
    <n v="0"/>
    <x v="16"/>
    <n v="0.248"/>
  </r>
  <r>
    <s v="LN0456"/>
    <s v="CU4615"/>
    <n v="25"/>
    <s v="Female"/>
    <x v="1"/>
    <x v="1"/>
    <n v="29244"/>
    <n v="471872"/>
    <x v="2"/>
    <n v="15.48"/>
    <n v="29544.34"/>
    <x v="0"/>
    <x v="3"/>
    <x v="336"/>
    <s v="2023-08-02"/>
    <n v="396"/>
    <n v="682"/>
    <s v="Yes"/>
    <n v="0"/>
    <x v="20"/>
    <n v="0.248"/>
  </r>
  <r>
    <s v="LN0457"/>
    <s v="CU3234"/>
    <n v="50"/>
    <s v="Male"/>
    <x v="2"/>
    <x v="1"/>
    <n v="68008"/>
    <n v="181103"/>
    <x v="3"/>
    <n v="12.77"/>
    <n v="31317.97"/>
    <x v="0"/>
    <x v="0"/>
    <x v="250"/>
    <m/>
    <m/>
    <n v="439"/>
    <s v="Yes"/>
    <n v="0"/>
    <x v="6"/>
    <n v="0.248"/>
  </r>
  <r>
    <s v="LN0458"/>
    <s v="CU8627"/>
    <n v="50"/>
    <s v="Female"/>
    <x v="0"/>
    <x v="1"/>
    <n v="72633"/>
    <n v="469733"/>
    <x v="4"/>
    <n v="26.49"/>
    <n v="44985.73"/>
    <x v="0"/>
    <x v="2"/>
    <x v="121"/>
    <s v="2024-05-24"/>
    <n v="283"/>
    <n v="535"/>
    <s v="Yes"/>
    <n v="0"/>
    <x v="0"/>
    <n v="0.248"/>
  </r>
  <r>
    <s v="LN0459"/>
    <s v="CU9548"/>
    <n v="52"/>
    <s v="Male"/>
    <x v="1"/>
    <x v="1"/>
    <n v="136310"/>
    <n v="151365"/>
    <x v="0"/>
    <n v="29.52"/>
    <n v="52957.49"/>
    <x v="3"/>
    <x v="2"/>
    <x v="310"/>
    <s v="2024-02-19"/>
    <n v="444"/>
    <n v="527"/>
    <s v="No"/>
    <n v="0"/>
    <x v="19"/>
    <n v="0.248"/>
  </r>
  <r>
    <s v="LN0460"/>
    <s v="CU3440"/>
    <n v="21"/>
    <s v="Female"/>
    <x v="3"/>
    <x v="0"/>
    <n v="138378"/>
    <n v="389552"/>
    <x v="1"/>
    <n v="12.81"/>
    <n v="18485.27"/>
    <x v="0"/>
    <x v="3"/>
    <x v="337"/>
    <s v="2024-06-23"/>
    <n v="414"/>
    <n v="400"/>
    <s v="Yes"/>
    <n v="0"/>
    <x v="22"/>
    <n v="0.248"/>
  </r>
  <r>
    <s v="LN0461"/>
    <s v="CU8412"/>
    <n v="52"/>
    <s v="Male"/>
    <x v="3"/>
    <x v="0"/>
    <n v="121592"/>
    <n v="119298"/>
    <x v="3"/>
    <n v="20.6"/>
    <n v="21094.58"/>
    <x v="3"/>
    <x v="0"/>
    <x v="338"/>
    <m/>
    <m/>
    <n v="791"/>
    <s v="No"/>
    <n v="0"/>
    <x v="1"/>
    <n v="0.248"/>
  </r>
  <r>
    <s v="LN0462"/>
    <s v="CU3650"/>
    <n v="50"/>
    <s v="Male"/>
    <x v="4"/>
    <x v="1"/>
    <n v="51339"/>
    <n v="463332"/>
    <x v="2"/>
    <n v="16.440000000000001"/>
    <n v="29219.84"/>
    <x v="2"/>
    <x v="3"/>
    <x v="198"/>
    <s v="2024-06-01"/>
    <n v="162"/>
    <n v="301"/>
    <s v="Yes"/>
    <n v="0"/>
    <x v="21"/>
    <n v="0.248"/>
  </r>
  <r>
    <s v="LN0463"/>
    <s v="CU2158"/>
    <n v="45"/>
    <s v="Female"/>
    <x v="1"/>
    <x v="0"/>
    <n v="92749"/>
    <n v="228295"/>
    <x v="4"/>
    <n v="28.75"/>
    <n v="22115.69"/>
    <x v="0"/>
    <x v="2"/>
    <x v="339"/>
    <s v="2023-12-23"/>
    <n v="20"/>
    <n v="643"/>
    <s v="No"/>
    <n v="0"/>
    <x v="21"/>
    <n v="0.248"/>
  </r>
  <r>
    <s v="LN0464"/>
    <s v="CU1898"/>
    <n v="53"/>
    <s v="Female"/>
    <x v="3"/>
    <x v="0"/>
    <n v="115389"/>
    <n v="196674"/>
    <x v="2"/>
    <n v="26.86"/>
    <n v="13395.07"/>
    <x v="2"/>
    <x v="1"/>
    <x v="65"/>
    <m/>
    <m/>
    <n v="368"/>
    <s v="Yes"/>
    <n v="96867.99"/>
    <x v="7"/>
    <n v="0.248"/>
  </r>
  <r>
    <s v="LN0465"/>
    <s v="CU4354"/>
    <n v="29"/>
    <s v="Female"/>
    <x v="0"/>
    <x v="0"/>
    <n v="140434"/>
    <n v="391599"/>
    <x v="1"/>
    <n v="32.909999999999997"/>
    <n v="22486.25"/>
    <x v="3"/>
    <x v="2"/>
    <x v="292"/>
    <s v="2023-11-21"/>
    <n v="361"/>
    <n v="573"/>
    <s v="No"/>
    <n v="0"/>
    <x v="8"/>
    <n v="0.248"/>
  </r>
  <r>
    <s v="LN0466"/>
    <s v="CU7929"/>
    <n v="38"/>
    <s v="Male"/>
    <x v="3"/>
    <x v="1"/>
    <n v="105499"/>
    <n v="242193"/>
    <x v="2"/>
    <n v="24.03"/>
    <n v="16158.33"/>
    <x v="4"/>
    <x v="3"/>
    <x v="58"/>
    <s v="2024-05-12"/>
    <n v="136"/>
    <n v="845"/>
    <s v="Yes"/>
    <n v="0"/>
    <x v="21"/>
    <n v="0.248"/>
  </r>
  <r>
    <s v="LN0467"/>
    <s v="CU5788"/>
    <n v="49"/>
    <s v="Female"/>
    <x v="3"/>
    <x v="0"/>
    <n v="135028"/>
    <n v="50774"/>
    <x v="0"/>
    <n v="21.38"/>
    <n v="17531.3"/>
    <x v="3"/>
    <x v="1"/>
    <x v="340"/>
    <m/>
    <m/>
    <n v="411"/>
    <s v="Yes"/>
    <n v="10933.49"/>
    <x v="3"/>
    <n v="0.248"/>
  </r>
  <r>
    <s v="LN0468"/>
    <s v="CU2835"/>
    <n v="30"/>
    <s v="Female"/>
    <x v="0"/>
    <x v="0"/>
    <n v="20948"/>
    <n v="158705"/>
    <x v="2"/>
    <n v="35.270000000000003"/>
    <n v="11479.97"/>
    <x v="0"/>
    <x v="2"/>
    <x v="341"/>
    <s v="2023-10-25"/>
    <n v="177"/>
    <n v="730"/>
    <s v="No"/>
    <n v="0"/>
    <x v="22"/>
    <n v="0.248"/>
  </r>
  <r>
    <s v="LN0469"/>
    <s v="CU1351"/>
    <n v="39"/>
    <s v="Male"/>
    <x v="3"/>
    <x v="0"/>
    <n v="75903"/>
    <n v="442752"/>
    <x v="1"/>
    <n v="27.47"/>
    <n v="24182.58"/>
    <x v="1"/>
    <x v="1"/>
    <x v="94"/>
    <m/>
    <m/>
    <n v="634"/>
    <s v="Yes"/>
    <n v="194945.42"/>
    <x v="12"/>
    <n v="0.248"/>
  </r>
  <r>
    <s v="LN0470"/>
    <s v="CU9686"/>
    <n v="49"/>
    <s v="Female"/>
    <x v="2"/>
    <x v="0"/>
    <n v="95345"/>
    <n v="95039"/>
    <x v="4"/>
    <n v="17.440000000000001"/>
    <n v="8687.8700000000008"/>
    <x v="2"/>
    <x v="1"/>
    <x v="342"/>
    <m/>
    <m/>
    <n v="451"/>
    <s v="Yes"/>
    <n v="32996.080000000002"/>
    <x v="2"/>
    <n v="0.248"/>
  </r>
  <r>
    <s v="LN0471"/>
    <s v="CU8469"/>
    <n v="31"/>
    <s v="Male"/>
    <x v="1"/>
    <x v="1"/>
    <n v="62783"/>
    <n v="96938"/>
    <x v="3"/>
    <n v="15.87"/>
    <n v="16912.36"/>
    <x v="4"/>
    <x v="0"/>
    <x v="63"/>
    <m/>
    <m/>
    <n v="429"/>
    <s v="No"/>
    <n v="0"/>
    <x v="8"/>
    <n v="0.248"/>
  </r>
  <r>
    <s v="LN0472"/>
    <s v="CU7056"/>
    <n v="32"/>
    <s v="Male"/>
    <x v="1"/>
    <x v="0"/>
    <n v="98084"/>
    <n v="185274"/>
    <x v="3"/>
    <n v="20.95"/>
    <n v="32793.040000000001"/>
    <x v="0"/>
    <x v="2"/>
    <x v="4"/>
    <s v="2023-12-02"/>
    <n v="154"/>
    <n v="424"/>
    <s v="No"/>
    <n v="0"/>
    <x v="4"/>
    <n v="0.248"/>
  </r>
  <r>
    <s v="LN0473"/>
    <s v="CU7628"/>
    <n v="52"/>
    <s v="Male"/>
    <x v="4"/>
    <x v="1"/>
    <n v="55908"/>
    <n v="7251"/>
    <x v="1"/>
    <n v="35.409999999999997"/>
    <n v="425.89"/>
    <x v="2"/>
    <x v="1"/>
    <x v="341"/>
    <m/>
    <m/>
    <n v="596"/>
    <s v="Yes"/>
    <n v="5646.53"/>
    <x v="22"/>
    <n v="0.248"/>
  </r>
  <r>
    <s v="LN0474"/>
    <s v="CU3409"/>
    <n v="49"/>
    <s v="Female"/>
    <x v="3"/>
    <x v="1"/>
    <n v="25506"/>
    <n v="78097"/>
    <x v="1"/>
    <n v="14.81"/>
    <n v="3779.62"/>
    <x v="4"/>
    <x v="3"/>
    <x v="343"/>
    <s v="2024-01-15"/>
    <n v="112"/>
    <n v="756"/>
    <s v="Yes"/>
    <n v="0"/>
    <x v="23"/>
    <n v="0.248"/>
  </r>
  <r>
    <s v="LN0475"/>
    <s v="CU6855"/>
    <n v="26"/>
    <s v="Female"/>
    <x v="3"/>
    <x v="0"/>
    <n v="73233"/>
    <n v="414617"/>
    <x v="4"/>
    <n v="16.7"/>
    <n v="37756.04"/>
    <x v="4"/>
    <x v="3"/>
    <x v="66"/>
    <s v="2024-05-14"/>
    <n v="171"/>
    <n v="389"/>
    <s v="Yes"/>
    <n v="0"/>
    <x v="12"/>
    <n v="0.248"/>
  </r>
  <r>
    <s v="LN0476"/>
    <s v="CU9385"/>
    <n v="46"/>
    <s v="Male"/>
    <x v="4"/>
    <x v="1"/>
    <n v="149101"/>
    <n v="499614"/>
    <x v="0"/>
    <n v="33.799999999999997"/>
    <n v="176006.49"/>
    <x v="2"/>
    <x v="3"/>
    <x v="344"/>
    <s v="2024-06-03"/>
    <n v="733"/>
    <n v="737"/>
    <s v="Yes"/>
    <n v="0"/>
    <x v="7"/>
    <n v="0.248"/>
  </r>
  <r>
    <s v="LN0477"/>
    <s v="CU7056"/>
    <n v="45"/>
    <s v="Female"/>
    <x v="3"/>
    <x v="1"/>
    <n v="105418"/>
    <n v="189211"/>
    <x v="4"/>
    <n v="35.46"/>
    <n v="18957.509999999998"/>
    <x v="0"/>
    <x v="0"/>
    <x v="194"/>
    <m/>
    <m/>
    <n v="754"/>
    <s v="No"/>
    <n v="0"/>
    <x v="14"/>
    <n v="0.248"/>
  </r>
  <r>
    <s v="LN0478"/>
    <s v="CU7809"/>
    <n v="49"/>
    <s v="Female"/>
    <x v="0"/>
    <x v="1"/>
    <n v="123578"/>
    <n v="78173"/>
    <x v="1"/>
    <n v="26.35"/>
    <n v="4225.3500000000004"/>
    <x v="3"/>
    <x v="2"/>
    <x v="275"/>
    <s v="2024-03-07"/>
    <n v="486"/>
    <n v="837"/>
    <s v="No"/>
    <n v="0"/>
    <x v="8"/>
    <n v="0.248"/>
  </r>
  <r>
    <s v="LN0479"/>
    <s v="CU2083"/>
    <n v="45"/>
    <s v="Male"/>
    <x v="3"/>
    <x v="1"/>
    <n v="86651"/>
    <n v="222324"/>
    <x v="3"/>
    <n v="25.34"/>
    <n v="39840.28"/>
    <x v="0"/>
    <x v="2"/>
    <x v="196"/>
    <s v="2023-01-30"/>
    <n v="190"/>
    <n v="690"/>
    <s v="No"/>
    <n v="0"/>
    <x v="20"/>
    <n v="0.248"/>
  </r>
  <r>
    <s v="LN0480"/>
    <s v="CU9037"/>
    <n v="23"/>
    <s v="Female"/>
    <x v="1"/>
    <x v="1"/>
    <n v="144525"/>
    <n v="298224"/>
    <x v="2"/>
    <n v="17.39"/>
    <n v="18941.810000000001"/>
    <x v="4"/>
    <x v="2"/>
    <x v="273"/>
    <s v="2023-07-30"/>
    <n v="307"/>
    <n v="783"/>
    <s v="Yes"/>
    <n v="0"/>
    <x v="9"/>
    <n v="0.248"/>
  </r>
  <r>
    <s v="LN0481"/>
    <s v="CU5713"/>
    <n v="47"/>
    <s v="Male"/>
    <x v="4"/>
    <x v="0"/>
    <n v="22456"/>
    <n v="67576"/>
    <x v="4"/>
    <n v="23.83"/>
    <n v="6384.4"/>
    <x v="4"/>
    <x v="1"/>
    <x v="332"/>
    <m/>
    <m/>
    <n v="792"/>
    <s v="Yes"/>
    <n v="33511.089999999997"/>
    <x v="0"/>
    <n v="0.248"/>
  </r>
  <r>
    <s v="LN0482"/>
    <s v="CU5225"/>
    <n v="51"/>
    <s v="Male"/>
    <x v="2"/>
    <x v="0"/>
    <n v="83036"/>
    <n v="90378"/>
    <x v="1"/>
    <n v="13.4"/>
    <n v="4313.7299999999996"/>
    <x v="2"/>
    <x v="3"/>
    <x v="239"/>
    <s v="2024-01-14"/>
    <n v="34"/>
    <n v="665"/>
    <s v="Yes"/>
    <n v="0"/>
    <x v="21"/>
    <n v="0.248"/>
  </r>
  <r>
    <s v="LN0483"/>
    <s v="CU3675"/>
    <n v="24"/>
    <s v="Female"/>
    <x v="2"/>
    <x v="1"/>
    <n v="108319"/>
    <n v="30540"/>
    <x v="4"/>
    <n v="19"/>
    <n v="2814.46"/>
    <x v="4"/>
    <x v="2"/>
    <x v="345"/>
    <s v="2024-01-07"/>
    <n v="93"/>
    <n v="396"/>
    <s v="No"/>
    <n v="0"/>
    <x v="18"/>
    <n v="0.248"/>
  </r>
  <r>
    <s v="LN0484"/>
    <s v="CU3738"/>
    <n v="55"/>
    <s v="Female"/>
    <x v="2"/>
    <x v="1"/>
    <n v="86161"/>
    <n v="364369"/>
    <x v="4"/>
    <n v="14.3"/>
    <n v="32767.1"/>
    <x v="0"/>
    <x v="1"/>
    <x v="62"/>
    <m/>
    <m/>
    <n v="313"/>
    <s v="Yes"/>
    <n v="71366.990000000005"/>
    <x v="11"/>
    <n v="0.248"/>
  </r>
  <r>
    <s v="LN0485"/>
    <s v="CU5610"/>
    <n v="44"/>
    <s v="Female"/>
    <x v="4"/>
    <x v="1"/>
    <n v="57737"/>
    <n v="58696"/>
    <x v="3"/>
    <n v="15.71"/>
    <n v="10235.77"/>
    <x v="3"/>
    <x v="2"/>
    <x v="346"/>
    <s v="2024-06-05"/>
    <n v="314"/>
    <n v="838"/>
    <s v="No"/>
    <n v="0"/>
    <x v="4"/>
    <n v="0.248"/>
  </r>
  <r>
    <s v="LN0486"/>
    <s v="CU2867"/>
    <n v="47"/>
    <s v="Female"/>
    <x v="3"/>
    <x v="0"/>
    <n v="49401"/>
    <n v="489132"/>
    <x v="0"/>
    <n v="23.51"/>
    <n v="169473.92000000001"/>
    <x v="2"/>
    <x v="1"/>
    <x v="159"/>
    <m/>
    <m/>
    <n v="752"/>
    <s v="Yes"/>
    <n v="353548.75"/>
    <x v="11"/>
    <n v="0.248"/>
  </r>
  <r>
    <s v="LN0487"/>
    <s v="CU9570"/>
    <n v="42"/>
    <s v="Male"/>
    <x v="2"/>
    <x v="0"/>
    <n v="46089"/>
    <n v="121579"/>
    <x v="3"/>
    <n v="32.56"/>
    <n v="22230.400000000001"/>
    <x v="3"/>
    <x v="2"/>
    <x v="347"/>
    <s v="2023-03-19"/>
    <n v="128"/>
    <n v="514"/>
    <s v="Yes"/>
    <n v="0"/>
    <x v="8"/>
    <n v="0.248"/>
  </r>
  <r>
    <s v="LN0488"/>
    <s v="CU2287"/>
    <n v="48"/>
    <s v="Male"/>
    <x v="3"/>
    <x v="0"/>
    <n v="141944"/>
    <n v="402061"/>
    <x v="2"/>
    <n v="13.02"/>
    <n v="24709.43"/>
    <x v="4"/>
    <x v="0"/>
    <x v="151"/>
    <m/>
    <m/>
    <n v="825"/>
    <s v="No"/>
    <n v="0"/>
    <x v="12"/>
    <n v="0.248"/>
  </r>
  <r>
    <s v="LN0489"/>
    <s v="CU8685"/>
    <n v="28"/>
    <s v="Female"/>
    <x v="3"/>
    <x v="0"/>
    <n v="94074"/>
    <n v="355007"/>
    <x v="0"/>
    <n v="30.11"/>
    <n v="124323.2"/>
    <x v="4"/>
    <x v="2"/>
    <x v="348"/>
    <s v="2023-12-05"/>
    <n v="102"/>
    <n v="489"/>
    <s v="No"/>
    <n v="0"/>
    <x v="0"/>
    <n v="0.248"/>
  </r>
  <r>
    <s v="LN0490"/>
    <s v="CU1479"/>
    <n v="26"/>
    <s v="Male"/>
    <x v="2"/>
    <x v="1"/>
    <n v="107327"/>
    <n v="89178"/>
    <x v="1"/>
    <n v="30.74"/>
    <n v="5020.2299999999996"/>
    <x v="0"/>
    <x v="2"/>
    <x v="349"/>
    <s v="2024-03-19"/>
    <n v="291"/>
    <n v="369"/>
    <s v="Yes"/>
    <n v="0"/>
    <x v="15"/>
    <n v="0.248"/>
  </r>
  <r>
    <s v="LN0491"/>
    <s v="CU1229"/>
    <n v="54"/>
    <s v="Male"/>
    <x v="0"/>
    <x v="1"/>
    <n v="60029"/>
    <n v="477729"/>
    <x v="1"/>
    <n v="12.1"/>
    <n v="22510.68"/>
    <x v="4"/>
    <x v="2"/>
    <x v="350"/>
    <s v="2024-05-28"/>
    <n v="362"/>
    <n v="786"/>
    <s v="No"/>
    <n v="0"/>
    <x v="15"/>
    <n v="0.248"/>
  </r>
  <r>
    <s v="LN0492"/>
    <s v="CU4033"/>
    <n v="49"/>
    <s v="Male"/>
    <x v="0"/>
    <x v="1"/>
    <n v="114513"/>
    <n v="227346"/>
    <x v="3"/>
    <n v="24.34"/>
    <n v="40625.949999999997"/>
    <x v="1"/>
    <x v="0"/>
    <x v="17"/>
    <m/>
    <m/>
    <n v="426"/>
    <s v="No"/>
    <n v="0"/>
    <x v="8"/>
    <n v="0.248"/>
  </r>
  <r>
    <s v="LN0493"/>
    <s v="CU9515"/>
    <n v="29"/>
    <s v="Female"/>
    <x v="2"/>
    <x v="1"/>
    <n v="25645"/>
    <n v="48121"/>
    <x v="4"/>
    <n v="23.85"/>
    <n v="4546.8100000000004"/>
    <x v="1"/>
    <x v="1"/>
    <x v="351"/>
    <m/>
    <m/>
    <n v="619"/>
    <s v="Yes"/>
    <n v="27955.06"/>
    <x v="17"/>
    <n v="0.248"/>
  </r>
  <r>
    <s v="LN0494"/>
    <s v="CU8273"/>
    <n v="35"/>
    <s v="Female"/>
    <x v="2"/>
    <x v="1"/>
    <n v="64488"/>
    <n v="454196"/>
    <x v="0"/>
    <n v="33.47"/>
    <n v="159921.62"/>
    <x v="1"/>
    <x v="1"/>
    <x v="154"/>
    <m/>
    <m/>
    <n v="313"/>
    <s v="Yes"/>
    <n v="362950.9"/>
    <x v="20"/>
    <n v="0.248"/>
  </r>
  <r>
    <s v="LN0495"/>
    <s v="CU9055"/>
    <n v="27"/>
    <s v="Female"/>
    <x v="4"/>
    <x v="0"/>
    <n v="46252"/>
    <n v="80165"/>
    <x v="2"/>
    <n v="21.61"/>
    <n v="5253.99"/>
    <x v="0"/>
    <x v="0"/>
    <x v="352"/>
    <m/>
    <m/>
    <n v="366"/>
    <s v="No"/>
    <n v="0"/>
    <x v="7"/>
    <n v="0.248"/>
  </r>
  <r>
    <s v="LN0496"/>
    <s v="CU4261"/>
    <n v="42"/>
    <s v="Male"/>
    <x v="1"/>
    <x v="1"/>
    <n v="47181"/>
    <n v="127090"/>
    <x v="2"/>
    <n v="29.4"/>
    <n v="8816.24"/>
    <x v="2"/>
    <x v="1"/>
    <x v="353"/>
    <m/>
    <m/>
    <n v="709"/>
    <s v="Yes"/>
    <n v="44388.480000000003"/>
    <x v="18"/>
    <n v="0.248"/>
  </r>
  <r>
    <s v="LN0497"/>
    <s v="CU7626"/>
    <n v="52"/>
    <s v="Female"/>
    <x v="0"/>
    <x v="1"/>
    <n v="43321"/>
    <n v="69062"/>
    <x v="4"/>
    <n v="23.74"/>
    <n v="6521.79"/>
    <x v="3"/>
    <x v="2"/>
    <x v="188"/>
    <s v="2022-05-12"/>
    <n v="101"/>
    <n v="354"/>
    <s v="No"/>
    <n v="0"/>
    <x v="1"/>
    <n v="0.248"/>
  </r>
  <r>
    <s v="LN0498"/>
    <s v="CU9161"/>
    <n v="22"/>
    <s v="Male"/>
    <x v="4"/>
    <x v="1"/>
    <n v="55038"/>
    <n v="163729"/>
    <x v="1"/>
    <n v="26.96"/>
    <n v="8900.2999999999993"/>
    <x v="4"/>
    <x v="3"/>
    <x v="147"/>
    <s v="2023-08-04"/>
    <n v="103"/>
    <n v="600"/>
    <s v="Yes"/>
    <n v="0"/>
    <x v="17"/>
    <n v="0.248"/>
  </r>
  <r>
    <s v="LN0499"/>
    <s v="CU9157"/>
    <n v="52"/>
    <s v="Female"/>
    <x v="1"/>
    <x v="1"/>
    <n v="19632"/>
    <n v="405537"/>
    <x v="0"/>
    <n v="35.78"/>
    <n v="143319.10999999999"/>
    <x v="4"/>
    <x v="3"/>
    <x v="168"/>
    <s v="2023-09-14"/>
    <n v="161"/>
    <n v="685"/>
    <s v="Yes"/>
    <n v="0"/>
    <x v="17"/>
    <n v="0.248"/>
  </r>
  <r>
    <s v="LN0500"/>
    <s v="CU8250"/>
    <n v="50"/>
    <s v="Male"/>
    <x v="3"/>
    <x v="0"/>
    <n v="94441"/>
    <n v="468837"/>
    <x v="3"/>
    <n v="23.8"/>
    <n v="83652.429999999993"/>
    <x v="3"/>
    <x v="1"/>
    <x v="277"/>
    <m/>
    <m/>
    <n v="799"/>
    <s v="Yes"/>
    <n v="297621.38"/>
    <x v="16"/>
    <n v="0.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86A65-E13E-40F3-B42E-3994EF26F9A2}" name="PMTM Header" cacheId="14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34:G35" firstHeaderRow="0" firstDataRow="1" firstDataCol="1"/>
  <pivotFields count="24">
    <pivotField dataField="1" showAll="0"/>
    <pivotField showAll="0"/>
    <pivotField showAll="0"/>
    <pivotField showAll="0"/>
    <pivotField showAll="0">
      <items count="6">
        <item x="4"/>
        <item x="1"/>
        <item x="2"/>
        <item x="3"/>
        <item x="0"/>
        <item t="default"/>
      </items>
    </pivotField>
    <pivotField showAll="0"/>
    <pivotField showAll="0"/>
    <pivotField dataField="1" showAll="0"/>
    <pivotField showAll="0"/>
    <pivotField showAll="0"/>
    <pivotField dataField="1" showAll="0"/>
    <pivotField showAll="0">
      <items count="6">
        <item x="0"/>
        <item x="4"/>
        <item x="3"/>
        <item x="1"/>
        <item x="2"/>
        <item t="default"/>
      </items>
    </pivotField>
    <pivotField showAll="0">
      <items count="5">
        <item x="0"/>
        <item x="2"/>
        <item x="1"/>
        <item x="3"/>
        <item t="default"/>
      </items>
    </pivotField>
    <pivotField numFmtId="167"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dataField="1" showAll="0"/>
    <pivotField showAll="0"/>
    <pivotField dataField="1" showAll="0"/>
    <pivotField showAll="0"/>
    <pivotField dataField="1" numFmtId="166" showAll="0"/>
    <pivotField axis="axisRow" showAll="0" defaultSubtotal="0">
      <items count="14">
        <item h="1" x="0"/>
        <item h="1" x="1"/>
        <item h="1" x="2"/>
        <item h="1" x="3"/>
        <item h="1" x="4"/>
        <item h="1" x="5"/>
        <item h="1" x="6"/>
        <item h="1" x="7"/>
        <item h="1" x="8"/>
        <item h="1" x="9"/>
        <item h="1" x="10"/>
        <item x="11"/>
        <item h="1" x="12"/>
        <item h="1" x="13"/>
      </items>
    </pivotField>
    <pivotField showAll="0" defaultSubtotal="0"/>
    <pivotField showAll="0" defaultSubtotal="0">
      <items count="4">
        <item x="0"/>
        <item x="1"/>
        <item x="2"/>
        <item x="3"/>
      </items>
    </pivotField>
  </pivotFields>
  <rowFields count="1">
    <field x="21"/>
  </rowFields>
  <rowItems count="1">
    <i>
      <x v="11"/>
    </i>
  </rowItems>
  <colFields count="1">
    <field x="-2"/>
  </colFields>
  <colItems count="6">
    <i>
      <x/>
    </i>
    <i i="1">
      <x v="1"/>
    </i>
    <i i="2">
      <x v="2"/>
    </i>
    <i i="3">
      <x v="3"/>
    </i>
    <i i="4">
      <x v="4"/>
    </i>
    <i i="5">
      <x v="5"/>
    </i>
  </colItems>
  <dataFields count="6">
    <dataField name="Count of Loan_ID" fld="0" subtotal="count" baseField="0" baseItem="0"/>
    <dataField name="Sum of Loan_Amount" fld="7" baseField="0" baseItem="0" numFmtId="169"/>
    <dataField name="Sum of Recovery_Amount" fld="18" baseField="0" baseItem="0" numFmtId="169"/>
    <dataField name="Average of Credit_Score" fld="16" subtotal="average" baseField="0" baseItem="2" numFmtId="2"/>
    <dataField name="Average of EMI_Amount" fld="10" subtotal="average" baseField="0" baseItem="3" numFmtId="170"/>
    <dataField name="Average of Default Interest Rate" fld="20" subtotal="average" baseField="0" baseItem="4" numFmtId="10"/>
  </dataFields>
  <formats count="8">
    <format dxfId="732">
      <pivotArea type="all" dataOnly="0" outline="0" fieldPosition="0"/>
    </format>
    <format dxfId="733">
      <pivotArea outline="0" collapsedLevelsAreSubtotals="1" fieldPosition="0"/>
    </format>
    <format dxfId="734">
      <pivotArea dataOnly="0" labelOnly="1" outline="0" fieldPosition="0">
        <references count="1">
          <reference field="4294967294" count="3">
            <x v="0"/>
            <x v="1"/>
            <x v="2"/>
          </reference>
        </references>
      </pivotArea>
    </format>
    <format dxfId="735">
      <pivotArea outline="0" collapsedLevelsAreSubtotals="1" fieldPosition="0">
        <references count="1">
          <reference field="4294967294" count="1" selected="0">
            <x v="4"/>
          </reference>
        </references>
      </pivotArea>
    </format>
    <format dxfId="736">
      <pivotArea outline="0" collapsedLevelsAreSubtotals="1" fieldPosition="0">
        <references count="1">
          <reference field="4294967294" count="1" selected="0">
            <x v="5"/>
          </reference>
        </references>
      </pivotArea>
    </format>
    <format dxfId="728">
      <pivotArea outline="0" collapsedLevelsAreSubtotals="1" fieldPosition="0">
        <references count="1">
          <reference field="4294967294" count="1" selected="0">
            <x v="3"/>
          </reference>
        </references>
      </pivotArea>
    </format>
    <format dxfId="727">
      <pivotArea outline="0" collapsedLevelsAreSubtotals="1" fieldPosition="0">
        <references count="1">
          <reference field="4294967294" count="1" selected="0">
            <x v="2"/>
          </reference>
        </references>
      </pivotArea>
    </format>
    <format dxfId="72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6BFC85-B69C-4B00-82F7-752DC43648D3}" name="MTM Header" cacheId="14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28:G29" firstHeaderRow="0" firstDataRow="1" firstDataCol="1"/>
  <pivotFields count="24">
    <pivotField dataField="1" showAll="0"/>
    <pivotField showAll="0"/>
    <pivotField showAll="0"/>
    <pivotField showAll="0"/>
    <pivotField showAll="0">
      <items count="6">
        <item x="4"/>
        <item x="1"/>
        <item x="2"/>
        <item x="3"/>
        <item x="0"/>
        <item t="default"/>
      </items>
    </pivotField>
    <pivotField showAll="0"/>
    <pivotField showAll="0"/>
    <pivotField dataField="1" showAll="0"/>
    <pivotField showAll="0"/>
    <pivotField showAll="0"/>
    <pivotField dataField="1" showAll="0"/>
    <pivotField showAll="0">
      <items count="6">
        <item x="0"/>
        <item x="4"/>
        <item x="3"/>
        <item x="1"/>
        <item x="2"/>
        <item t="default"/>
      </items>
    </pivotField>
    <pivotField showAll="0">
      <items count="5">
        <item x="0"/>
        <item x="2"/>
        <item x="1"/>
        <item x="3"/>
        <item t="default"/>
      </items>
    </pivotField>
    <pivotField numFmtId="167"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dataField="1" showAll="0"/>
    <pivotField showAll="0"/>
    <pivotField dataField="1" showAll="0"/>
    <pivotField showAll="0"/>
    <pivotField dataField="1" numFmtId="166" showAll="0"/>
    <pivotField axis="axisRow" showAll="0" defaultSubtotal="0">
      <items count="14">
        <item h="1" x="0"/>
        <item h="1" x="1"/>
        <item h="1" x="2"/>
        <item h="1" x="3"/>
        <item h="1" x="4"/>
        <item h="1" x="5"/>
        <item h="1" x="6"/>
        <item h="1" x="7"/>
        <item h="1" x="8"/>
        <item h="1" x="9"/>
        <item h="1" x="10"/>
        <item h="1" x="11"/>
        <item x="12"/>
        <item h="1" x="13"/>
      </items>
    </pivotField>
    <pivotField showAll="0" defaultSubtotal="0"/>
    <pivotField showAll="0" defaultSubtotal="0">
      <items count="4">
        <item x="0"/>
        <item x="1"/>
        <item x="2"/>
        <item x="3"/>
      </items>
    </pivotField>
  </pivotFields>
  <rowFields count="1">
    <field x="21"/>
  </rowFields>
  <rowItems count="1">
    <i>
      <x v="12"/>
    </i>
  </rowItems>
  <colFields count="1">
    <field x="-2"/>
  </colFields>
  <colItems count="6">
    <i>
      <x/>
    </i>
    <i i="1">
      <x v="1"/>
    </i>
    <i i="2">
      <x v="2"/>
    </i>
    <i i="3">
      <x v="3"/>
    </i>
    <i i="4">
      <x v="4"/>
    </i>
    <i i="5">
      <x v="5"/>
    </i>
  </colItems>
  <dataFields count="6">
    <dataField name="Count of Loan_ID" fld="0" subtotal="count" baseField="0" baseItem="0"/>
    <dataField name="Sum of Loan_Amount" fld="7" baseField="0" baseItem="0" numFmtId="169"/>
    <dataField name="Sum of Recovery_Amount" fld="18" baseField="0" baseItem="0" numFmtId="169"/>
    <dataField name="Average of Credit_Score" fld="16" subtotal="average" baseField="0" baseItem="2" numFmtId="2"/>
    <dataField name="Average of EMI_Amount" fld="10" subtotal="average" baseField="0" baseItem="3" numFmtId="170"/>
    <dataField name="Average of Default Interest Rate" fld="20" subtotal="average" baseField="0" baseItem="4" numFmtId="10"/>
  </dataFields>
  <formats count="8">
    <format dxfId="744">
      <pivotArea type="all" dataOnly="0" outline="0" fieldPosition="0"/>
    </format>
    <format dxfId="745">
      <pivotArea outline="0" collapsedLevelsAreSubtotals="1" fieldPosition="0"/>
    </format>
    <format dxfId="746">
      <pivotArea dataOnly="0" labelOnly="1" outline="0" fieldPosition="0">
        <references count="1">
          <reference field="4294967294" count="3">
            <x v="0"/>
            <x v="1"/>
            <x v="2"/>
          </reference>
        </references>
      </pivotArea>
    </format>
    <format dxfId="740">
      <pivotArea outline="0" collapsedLevelsAreSubtotals="1" fieldPosition="0">
        <references count="1">
          <reference field="4294967294" count="1" selected="0">
            <x v="4"/>
          </reference>
        </references>
      </pivotArea>
    </format>
    <format dxfId="737">
      <pivotArea outline="0" collapsedLevelsAreSubtotals="1" fieldPosition="0">
        <references count="1">
          <reference field="4294967294" count="1" selected="0">
            <x v="5"/>
          </reference>
        </references>
      </pivotArea>
    </format>
    <format dxfId="731">
      <pivotArea outline="0" collapsedLevelsAreSubtotals="1" fieldPosition="0">
        <references count="1">
          <reference field="4294967294" count="1" selected="0">
            <x v="1"/>
          </reference>
        </references>
      </pivotArea>
    </format>
    <format dxfId="730">
      <pivotArea outline="0" collapsedLevelsAreSubtotals="1" fieldPosition="0">
        <references count="1">
          <reference field="4294967294" count="1" selected="0">
            <x v="2"/>
          </reference>
        </references>
      </pivotArea>
    </format>
    <format dxfId="72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892C50-2E25-4FB4-90FD-04C634E031AB}" name="KPI Header" cacheId="14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F22" firstHeaderRow="0" firstDataRow="1" firstDataCol="0"/>
  <pivotFields count="24">
    <pivotField dataField="1" showAll="0"/>
    <pivotField showAll="0"/>
    <pivotField showAll="0"/>
    <pivotField showAll="0"/>
    <pivotField showAll="0">
      <items count="6">
        <item x="4"/>
        <item x="1"/>
        <item x="2"/>
        <item x="3"/>
        <item x="0"/>
        <item t="default"/>
      </items>
    </pivotField>
    <pivotField showAll="0"/>
    <pivotField showAll="0"/>
    <pivotField dataField="1" showAll="0"/>
    <pivotField showAll="0"/>
    <pivotField showAll="0"/>
    <pivotField dataField="1" showAll="0"/>
    <pivotField showAll="0">
      <items count="6">
        <item x="0"/>
        <item x="4"/>
        <item x="3"/>
        <item x="1"/>
        <item x="2"/>
        <item t="default"/>
      </items>
    </pivotField>
    <pivotField showAll="0">
      <items count="5">
        <item x="0"/>
        <item x="2"/>
        <item x="1"/>
        <item x="3"/>
        <item t="default"/>
      </items>
    </pivotField>
    <pivotField numFmtId="167"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dataField="1" showAll="0"/>
    <pivotField showAll="0"/>
    <pivotField dataField="1" showAll="0"/>
    <pivotField showAll="0"/>
    <pivotField dataField="1" numFmtId="166" showAll="0"/>
    <pivotField showAll="0" defaultSubtotal="0"/>
    <pivotField showAll="0" defaultSubtotal="0"/>
    <pivotField showAll="0" defaultSubtotal="0">
      <items count="4">
        <item x="0"/>
        <item x="1"/>
        <item x="2"/>
        <item x="3"/>
      </items>
    </pivotField>
  </pivotFields>
  <rowItems count="1">
    <i/>
  </rowItems>
  <colFields count="1">
    <field x="-2"/>
  </colFields>
  <colItems count="6">
    <i>
      <x/>
    </i>
    <i i="1">
      <x v="1"/>
    </i>
    <i i="2">
      <x v="2"/>
    </i>
    <i i="3">
      <x v="3"/>
    </i>
    <i i="4">
      <x v="4"/>
    </i>
    <i i="5">
      <x v="5"/>
    </i>
  </colItems>
  <dataFields count="6">
    <dataField name="Count of Loan_ID" fld="0" subtotal="count" baseField="0" baseItem="0"/>
    <dataField name="Sum of Loan_Amount" fld="7" baseField="0" baseItem="0" numFmtId="169"/>
    <dataField name="Sum of Recovery_Amount" fld="18" baseField="0" baseItem="0" numFmtId="169"/>
    <dataField name="Average of Credit_Score" fld="16" subtotal="average" baseField="0" baseItem="2"/>
    <dataField name="Average of EMI_Amount" fld="10" subtotal="average" baseField="0" baseItem="3" numFmtId="170"/>
    <dataField name="Average of Default Interest Rate" fld="20" subtotal="average" baseField="0" baseItem="4" numFmtId="10"/>
  </dataFields>
  <formats count="5">
    <format dxfId="741">
      <pivotArea type="all" dataOnly="0" outline="0" fieldPosition="0"/>
    </format>
    <format dxfId="742">
      <pivotArea outline="0" collapsedLevelsAreSubtotals="1" fieldPosition="0"/>
    </format>
    <format dxfId="743">
      <pivotArea dataOnly="0" labelOnly="1" outline="0" fieldPosition="0">
        <references count="1">
          <reference field="4294967294" count="3">
            <x v="0"/>
            <x v="1"/>
            <x v="2"/>
          </reference>
        </references>
      </pivotArea>
    </format>
    <format dxfId="739">
      <pivotArea outline="0" collapsedLevelsAreSubtotals="1" fieldPosition="0">
        <references count="1">
          <reference field="4294967294" count="1" selected="0">
            <x v="4"/>
          </reference>
        </references>
      </pivotArea>
    </format>
    <format dxfId="738">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4295CE-7089-47EB-9E6F-C6F717E3BB4A}" name="Monthly Loan Trend" cacheId="14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5:B60" firstHeaderRow="1" firstDataRow="1" firstDataCol="1"/>
  <pivotFields count="24">
    <pivotField compact="0" outline="0" showAll="0"/>
    <pivotField compact="0" outline="0" showAll="0"/>
    <pivotField compact="0" outline="0" showAll="0"/>
    <pivotField compact="0" outline="0" showAll="0"/>
    <pivotField compact="0" outline="0" showAll="0">
      <items count="6">
        <item x="4"/>
        <item x="1"/>
        <item x="2"/>
        <item x="3"/>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6">
        <item x="0"/>
        <item x="4"/>
        <item x="3"/>
        <item x="1"/>
        <item x="2"/>
        <item t="default"/>
      </items>
    </pivotField>
    <pivotField compact="0" outline="0" showAll="0">
      <items count="5">
        <item x="0"/>
        <item x="2"/>
        <item x="1"/>
        <item x="3"/>
        <item t="default"/>
      </items>
    </pivotField>
    <pivotField compact="0" numFmtId="167" outline="0"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25">
        <item x="13"/>
        <item x="17"/>
        <item x="14"/>
        <item x="0"/>
        <item x="19"/>
        <item x="21"/>
        <item x="2"/>
        <item x="16"/>
        <item x="1"/>
        <item x="5"/>
        <item x="20"/>
        <item x="4"/>
        <item x="7"/>
        <item x="15"/>
        <item x="3"/>
        <item x="10"/>
        <item x="11"/>
        <item x="22"/>
        <item x="8"/>
        <item x="12"/>
        <item x="6"/>
        <item x="18"/>
        <item x="9"/>
        <item x="23"/>
        <item t="default"/>
      </items>
    </pivotField>
    <pivotField compact="0" numFmtId="166"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1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Loan_Amount" fld="7"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1747E9-7171-4381-A262-7B5A8234F4F8}" name="Employment vs Tenure" cacheId="14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9">
  <location ref="A29:F32" firstHeaderRow="1" firstDataRow="2" firstDataCol="1"/>
  <pivotFields count="24">
    <pivotField showAll="0"/>
    <pivotField showAll="0"/>
    <pivotField showAll="0"/>
    <pivotField showAll="0"/>
    <pivotField showAll="0">
      <items count="6">
        <item x="4"/>
        <item x="1"/>
        <item x="2"/>
        <item x="3"/>
        <item x="0"/>
        <item t="default"/>
      </items>
    </pivotField>
    <pivotField axis="axisRow" showAll="0">
      <items count="3">
        <item x="0"/>
        <item x="1"/>
        <item t="default"/>
      </items>
    </pivotField>
    <pivotField showAll="0"/>
    <pivotField dataField="1" showAll="0"/>
    <pivotField axis="axisCol" showAll="0">
      <items count="6">
        <item x="0"/>
        <item x="3"/>
        <item x="4"/>
        <item x="2"/>
        <item x="1"/>
        <item t="default"/>
      </items>
    </pivotField>
    <pivotField showAll="0"/>
    <pivotField showAll="0"/>
    <pivotField showAll="0">
      <items count="6">
        <item x="0"/>
        <item x="4"/>
        <item x="3"/>
        <item x="1"/>
        <item x="2"/>
        <item t="default"/>
      </items>
    </pivotField>
    <pivotField showAll="0">
      <items count="5">
        <item x="0"/>
        <item x="2"/>
        <item x="1"/>
        <item x="3"/>
        <item t="default"/>
      </items>
    </pivotField>
    <pivotField numFmtId="167"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showAll="0"/>
    <pivotField showAll="0"/>
    <pivotField showAll="0"/>
    <pivotField showAll="0"/>
    <pivotField numFmtId="166" showAll="0"/>
    <pivotField showAll="0"/>
    <pivotField showAll="0"/>
    <pivotField showAll="0">
      <items count="5">
        <item x="0"/>
        <item x="1"/>
        <item x="2"/>
        <item x="3"/>
        <item t="default"/>
      </items>
    </pivotField>
  </pivotFields>
  <rowFields count="1">
    <field x="5"/>
  </rowFields>
  <rowItems count="2">
    <i>
      <x/>
    </i>
    <i>
      <x v="1"/>
    </i>
  </rowItems>
  <colFields count="1">
    <field x="8"/>
  </colFields>
  <colItems count="5">
    <i>
      <x/>
    </i>
    <i>
      <x v="1"/>
    </i>
    <i>
      <x v="2"/>
    </i>
    <i>
      <x v="3"/>
    </i>
    <i>
      <x v="4"/>
    </i>
  </colItems>
  <dataFields count="1">
    <dataField name="Sum of Loan_Amount" fld="7" baseField="0" baseItem="0"/>
  </dataFields>
  <chartFormats count="15">
    <chartFormat chart="10" format="10"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1"/>
          </reference>
        </references>
      </pivotArea>
    </chartFormat>
    <chartFormat chart="10" format="12" series="1">
      <pivotArea type="data" outline="0" fieldPosition="0">
        <references count="2">
          <reference field="4294967294" count="1" selected="0">
            <x v="0"/>
          </reference>
          <reference field="8" count="1" selected="0">
            <x v="2"/>
          </reference>
        </references>
      </pivotArea>
    </chartFormat>
    <chartFormat chart="10" format="13" series="1">
      <pivotArea type="data" outline="0" fieldPosition="0">
        <references count="2">
          <reference field="4294967294" count="1" selected="0">
            <x v="0"/>
          </reference>
          <reference field="8" count="1" selected="0">
            <x v="3"/>
          </reference>
        </references>
      </pivotArea>
    </chartFormat>
    <chartFormat chart="10" format="14" series="1">
      <pivotArea type="data" outline="0" fieldPosition="0">
        <references count="2">
          <reference field="4294967294" count="1" selected="0">
            <x v="0"/>
          </reference>
          <reference field="8" count="1" selected="0">
            <x v="4"/>
          </reference>
        </references>
      </pivotArea>
    </chartFormat>
    <chartFormat chart="17" format="15" series="1">
      <pivotArea type="data" outline="0" fieldPosition="0">
        <references count="2">
          <reference field="4294967294" count="1" selected="0">
            <x v="0"/>
          </reference>
          <reference field="8" count="1" selected="0">
            <x v="0"/>
          </reference>
        </references>
      </pivotArea>
    </chartFormat>
    <chartFormat chart="17" format="16" series="1">
      <pivotArea type="data" outline="0" fieldPosition="0">
        <references count="2">
          <reference field="4294967294" count="1" selected="0">
            <x v="0"/>
          </reference>
          <reference field="8" count="1" selected="0">
            <x v="1"/>
          </reference>
        </references>
      </pivotArea>
    </chartFormat>
    <chartFormat chart="17" format="17" series="1">
      <pivotArea type="data" outline="0" fieldPosition="0">
        <references count="2">
          <reference field="4294967294" count="1" selected="0">
            <x v="0"/>
          </reference>
          <reference field="8" count="1" selected="0">
            <x v="2"/>
          </reference>
        </references>
      </pivotArea>
    </chartFormat>
    <chartFormat chart="17" format="18" series="1">
      <pivotArea type="data" outline="0" fieldPosition="0">
        <references count="2">
          <reference field="4294967294" count="1" selected="0">
            <x v="0"/>
          </reference>
          <reference field="8" count="1" selected="0">
            <x v="3"/>
          </reference>
        </references>
      </pivotArea>
    </chartFormat>
    <chartFormat chart="17" format="19" series="1">
      <pivotArea type="data" outline="0" fieldPosition="0">
        <references count="2">
          <reference field="4294967294" count="1" selected="0">
            <x v="0"/>
          </reference>
          <reference field="8" count="1" selected="0">
            <x v="4"/>
          </reference>
        </references>
      </pivotArea>
    </chartFormat>
    <chartFormat chart="18" format="20" series="1">
      <pivotArea type="data" outline="0" fieldPosition="0">
        <references count="2">
          <reference field="4294967294" count="1" selected="0">
            <x v="0"/>
          </reference>
          <reference field="8" count="1" selected="0">
            <x v="0"/>
          </reference>
        </references>
      </pivotArea>
    </chartFormat>
    <chartFormat chart="18" format="21" series="1">
      <pivotArea type="data" outline="0" fieldPosition="0">
        <references count="2">
          <reference field="4294967294" count="1" selected="0">
            <x v="0"/>
          </reference>
          <reference field="8" count="1" selected="0">
            <x v="1"/>
          </reference>
        </references>
      </pivotArea>
    </chartFormat>
    <chartFormat chart="18" format="22" series="1">
      <pivotArea type="data" outline="0" fieldPosition="0">
        <references count="2">
          <reference field="4294967294" count="1" selected="0">
            <x v="0"/>
          </reference>
          <reference field="8" count="1" selected="0">
            <x v="2"/>
          </reference>
        </references>
      </pivotArea>
    </chartFormat>
    <chartFormat chart="18" format="23" series="1">
      <pivotArea type="data" outline="0" fieldPosition="0">
        <references count="2">
          <reference field="4294967294" count="1" selected="0">
            <x v="0"/>
          </reference>
          <reference field="8" count="1" selected="0">
            <x v="3"/>
          </reference>
        </references>
      </pivotArea>
    </chartFormat>
    <chartFormat chart="18" format="2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70FE65-0F9D-4E32-98A3-84B2A20A9D86}" name="Defaults by City" cacheId="14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location ref="A21:B26" firstHeaderRow="1" firstDataRow="1" firstDataCol="1" rowPageCount="1" colPageCount="1"/>
  <pivotFields count="24">
    <pivotField dataField="1" showAll="0"/>
    <pivotField showAll="0"/>
    <pivotField showAll="0"/>
    <pivotField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0"/>
        <item x="4"/>
        <item x="3"/>
        <item x="1"/>
        <item x="2"/>
        <item t="default"/>
      </items>
    </pivotField>
    <pivotField axis="axisPage" multipleItemSelectionAllowed="1" showAll="0">
      <items count="5">
        <item x="0"/>
        <item x="2"/>
        <item x="1"/>
        <item x="3"/>
        <item t="default"/>
      </items>
    </pivotField>
    <pivotField numFmtId="167"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showAll="0"/>
    <pivotField showAll="0"/>
    <pivotField showAll="0"/>
    <pivotField showAll="0"/>
    <pivotField numFmtId="166" showAll="0"/>
    <pivotField showAll="0"/>
    <pivotField showAll="0"/>
    <pivotField showAll="0">
      <items count="5">
        <item x="0"/>
        <item x="1"/>
        <item x="2"/>
        <item x="3"/>
        <item t="default"/>
      </items>
    </pivotField>
  </pivotFields>
  <rowFields count="1">
    <field x="4"/>
  </rowFields>
  <rowItems count="5">
    <i>
      <x/>
    </i>
    <i>
      <x v="2"/>
    </i>
    <i>
      <x v="1"/>
    </i>
    <i>
      <x v="3"/>
    </i>
    <i>
      <x v="4"/>
    </i>
  </rowItems>
  <colItems count="1">
    <i/>
  </colItems>
  <pageFields count="1">
    <pageField fld="12" hier="-1"/>
  </pageFields>
  <dataFields count="1">
    <dataField name="Count of Loan_ID" fld="0" subtotal="count" baseField="0" baseItem="0"/>
  </dataFields>
  <chartFormats count="2">
    <chartFormat chart="7"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3DF4ED-E220-40BE-9630-BACE56D102A4}" name="Loan Purpose" cacheId="14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0:B16" firstHeaderRow="1" firstDataRow="1" firstDataCol="1"/>
  <pivotFields count="24">
    <pivotField showAll="0"/>
    <pivotField showAll="0"/>
    <pivotField showAll="0"/>
    <pivotField showAll="0"/>
    <pivotField showAll="0">
      <items count="6">
        <item x="4"/>
        <item x="1"/>
        <item x="2"/>
        <item x="3"/>
        <item x="0"/>
        <item t="default"/>
      </items>
    </pivotField>
    <pivotField showAll="0"/>
    <pivotField showAll="0"/>
    <pivotField dataField="1" showAll="0"/>
    <pivotField showAll="0"/>
    <pivotField showAll="0"/>
    <pivotField showAll="0"/>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showAll="0"/>
    <pivotField showAll="0"/>
    <pivotField showAll="0"/>
    <pivotField showAll="0"/>
    <pivotField numFmtId="166" showAll="0"/>
    <pivotField showAll="0"/>
    <pivotField showAll="0"/>
    <pivotField showAll="0">
      <items count="5">
        <item x="0"/>
        <item x="1"/>
        <item x="2"/>
        <item x="3"/>
        <item t="default"/>
      </items>
    </pivotField>
  </pivotFields>
  <rowFields count="1">
    <field x="11"/>
  </rowFields>
  <rowItems count="6">
    <i>
      <x/>
    </i>
    <i>
      <x v="1"/>
    </i>
    <i>
      <x v="4"/>
    </i>
    <i>
      <x v="2"/>
    </i>
    <i>
      <x v="3"/>
    </i>
    <i t="grand">
      <x/>
    </i>
  </rowItems>
  <colItems count="1">
    <i/>
  </colItems>
  <dataFields count="1">
    <dataField name="Sum of Loan_Amount" fld="7" baseField="0" baseItem="0" numFmtId="164"/>
  </dataFields>
  <formats count="1">
    <format dxfId="748">
      <pivotArea outline="0" collapsedLevelsAreSubtotals="1" fieldPosition="0"/>
    </format>
  </formats>
  <chartFormats count="1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1" count="1" selected="0">
            <x v="0"/>
          </reference>
        </references>
      </pivotArea>
    </chartFormat>
    <chartFormat chart="5" format="4">
      <pivotArea type="data" outline="0" fieldPosition="0">
        <references count="2">
          <reference field="4294967294" count="1" selected="0">
            <x v="0"/>
          </reference>
          <reference field="11" count="1" selected="0">
            <x v="1"/>
          </reference>
        </references>
      </pivotArea>
    </chartFormat>
    <chartFormat chart="5" format="5">
      <pivotArea type="data" outline="0" fieldPosition="0">
        <references count="2">
          <reference field="4294967294" count="1" selected="0">
            <x v="0"/>
          </reference>
          <reference field="11" count="1" selected="0">
            <x v="4"/>
          </reference>
        </references>
      </pivotArea>
    </chartFormat>
    <chartFormat chart="5" format="6">
      <pivotArea type="data" outline="0" fieldPosition="0">
        <references count="2">
          <reference field="4294967294" count="1" selected="0">
            <x v="0"/>
          </reference>
          <reference field="11" count="1" selected="0">
            <x v="2"/>
          </reference>
        </references>
      </pivotArea>
    </chartFormat>
    <chartFormat chart="5" format="7">
      <pivotArea type="data" outline="0" fieldPosition="0">
        <references count="2">
          <reference field="4294967294" count="1" selected="0">
            <x v="0"/>
          </reference>
          <reference field="11" count="1" selected="0">
            <x v="3"/>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1" count="1" selected="0">
            <x v="0"/>
          </reference>
        </references>
      </pivotArea>
    </chartFormat>
    <chartFormat chart="10" format="16">
      <pivotArea type="data" outline="0" fieldPosition="0">
        <references count="2">
          <reference field="4294967294" count="1" selected="0">
            <x v="0"/>
          </reference>
          <reference field="11" count="1" selected="0">
            <x v="1"/>
          </reference>
        </references>
      </pivotArea>
    </chartFormat>
    <chartFormat chart="10" format="17">
      <pivotArea type="data" outline="0" fieldPosition="0">
        <references count="2">
          <reference field="4294967294" count="1" selected="0">
            <x v="0"/>
          </reference>
          <reference field="11" count="1" selected="0">
            <x v="4"/>
          </reference>
        </references>
      </pivotArea>
    </chartFormat>
    <chartFormat chart="10" format="18">
      <pivotArea type="data" outline="0" fieldPosition="0">
        <references count="2">
          <reference field="4294967294" count="1" selected="0">
            <x v="0"/>
          </reference>
          <reference field="11" count="1" selected="0">
            <x v="2"/>
          </reference>
        </references>
      </pivotArea>
    </chartFormat>
    <chartFormat chart="10" format="19">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FBE1CC-8648-441D-9625-518894B53ABE}" name="Loan status" cacheId="14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B6" firstHeaderRow="1" firstDataRow="1" firstDataCol="1"/>
  <pivotFields count="24">
    <pivotField dataField="1" showAll="0"/>
    <pivotField showAll="0"/>
    <pivotField showAll="0"/>
    <pivotField showAll="0"/>
    <pivotField showAll="0">
      <items count="6">
        <item x="4"/>
        <item x="1"/>
        <item x="2"/>
        <item x="3"/>
        <item x="0"/>
        <item t="default"/>
      </items>
    </pivotField>
    <pivotField showAll="0"/>
    <pivotField showAll="0"/>
    <pivotField showAll="0"/>
    <pivotField showAll="0"/>
    <pivotField showAll="0"/>
    <pivotField showAll="0"/>
    <pivotField showAll="0">
      <items count="6">
        <item x="0"/>
        <item x="4"/>
        <item x="3"/>
        <item x="1"/>
        <item x="2"/>
        <item t="default"/>
      </items>
    </pivotField>
    <pivotField axis="axisRow" showAll="0">
      <items count="5">
        <item x="0"/>
        <item x="2"/>
        <item x="1"/>
        <item x="3"/>
        <item t="default"/>
      </items>
    </pivotField>
    <pivotField showAll="0">
      <items count="355">
        <item x="1"/>
        <item x="12"/>
        <item x="231"/>
        <item x="41"/>
        <item x="338"/>
        <item x="184"/>
        <item x="326"/>
        <item x="199"/>
        <item x="112"/>
        <item x="27"/>
        <item x="42"/>
        <item x="188"/>
        <item x="274"/>
        <item x="190"/>
        <item x="90"/>
        <item x="92"/>
        <item x="130"/>
        <item x="2"/>
        <item x="143"/>
        <item x="125"/>
        <item x="64"/>
        <item x="342"/>
        <item x="37"/>
        <item x="100"/>
        <item x="335"/>
        <item x="14"/>
        <item x="128"/>
        <item x="223"/>
        <item x="212"/>
        <item x="79"/>
        <item x="20"/>
        <item x="51"/>
        <item x="146"/>
        <item x="205"/>
        <item x="340"/>
        <item x="3"/>
        <item x="53"/>
        <item x="108"/>
        <item x="10"/>
        <item x="221"/>
        <item x="22"/>
        <item x="283"/>
        <item x="166"/>
        <item x="247"/>
        <item x="46"/>
        <item x="47"/>
        <item x="331"/>
        <item x="152"/>
        <item x="164"/>
        <item x="102"/>
        <item x="23"/>
        <item x="142"/>
        <item x="302"/>
        <item x="314"/>
        <item x="21"/>
        <item x="329"/>
        <item x="18"/>
        <item x="45"/>
        <item x="113"/>
        <item x="107"/>
        <item x="77"/>
        <item x="116"/>
        <item x="303"/>
        <item x="139"/>
        <item x="255"/>
        <item x="101"/>
        <item x="159"/>
        <item x="134"/>
        <item x="62"/>
        <item x="305"/>
        <item x="344"/>
        <item x="309"/>
        <item x="258"/>
        <item x="50"/>
        <item x="246"/>
        <item x="9"/>
        <item x="204"/>
        <item x="214"/>
        <item x="16"/>
        <item x="52"/>
        <item x="109"/>
        <item x="257"/>
        <item x="352"/>
        <item x="118"/>
        <item x="74"/>
        <item x="65"/>
        <item x="336"/>
        <item x="154"/>
        <item x="269"/>
        <item x="133"/>
        <item x="317"/>
        <item x="297"/>
        <item x="307"/>
        <item x="263"/>
        <item x="40"/>
        <item x="196"/>
        <item x="179"/>
        <item x="145"/>
        <item x="227"/>
        <item x="24"/>
        <item x="194"/>
        <item x="256"/>
        <item x="32"/>
        <item x="173"/>
        <item x="165"/>
        <item x="141"/>
        <item x="280"/>
        <item x="71"/>
        <item x="278"/>
        <item x="144"/>
        <item x="122"/>
        <item x="120"/>
        <item x="13"/>
        <item x="319"/>
        <item x="157"/>
        <item x="294"/>
        <item x="163"/>
        <item x="236"/>
        <item x="228"/>
        <item x="217"/>
        <item x="218"/>
        <item x="135"/>
        <item x="273"/>
        <item x="123"/>
        <item x="211"/>
        <item x="213"/>
        <item x="321"/>
        <item x="264"/>
        <item x="249"/>
        <item x="241"/>
        <item x="72"/>
        <item x="250"/>
        <item x="316"/>
        <item x="226"/>
        <item x="30"/>
        <item x="99"/>
        <item x="85"/>
        <item x="8"/>
        <item x="69"/>
        <item x="275"/>
        <item x="26"/>
        <item x="347"/>
        <item x="207"/>
        <item x="95"/>
        <item x="88"/>
        <item x="11"/>
        <item x="17"/>
        <item x="288"/>
        <item x="63"/>
        <item x="193"/>
        <item x="208"/>
        <item x="292"/>
        <item x="222"/>
        <item x="87"/>
        <item x="156"/>
        <item x="310"/>
        <item x="132"/>
        <item x="36"/>
        <item x="60"/>
        <item x="83"/>
        <item x="322"/>
        <item x="265"/>
        <item x="38"/>
        <item x="82"/>
        <item x="286"/>
        <item x="80"/>
        <item x="318"/>
        <item x="105"/>
        <item x="172"/>
        <item x="158"/>
        <item x="206"/>
        <item x="253"/>
        <item x="189"/>
        <item x="279"/>
        <item x="210"/>
        <item x="140"/>
        <item x="324"/>
        <item x="293"/>
        <item x="67"/>
        <item x="98"/>
        <item x="34"/>
        <item x="155"/>
        <item x="7"/>
        <item x="197"/>
        <item x="277"/>
        <item x="186"/>
        <item x="301"/>
        <item x="86"/>
        <item x="73"/>
        <item x="224"/>
        <item x="29"/>
        <item x="55"/>
        <item x="177"/>
        <item x="150"/>
        <item x="219"/>
        <item x="209"/>
        <item x="59"/>
        <item x="333"/>
        <item x="295"/>
        <item x="181"/>
        <item x="171"/>
        <item x="260"/>
        <item x="229"/>
        <item x="180"/>
        <item x="78"/>
        <item x="203"/>
        <item x="175"/>
        <item x="160"/>
        <item x="312"/>
        <item x="15"/>
        <item x="97"/>
        <item x="168"/>
        <item x="237"/>
        <item x="287"/>
        <item x="304"/>
        <item x="56"/>
        <item x="31"/>
        <item x="351"/>
        <item x="76"/>
        <item x="149"/>
        <item x="300"/>
        <item x="308"/>
        <item x="276"/>
        <item x="119"/>
        <item x="39"/>
        <item x="147"/>
        <item x="252"/>
        <item x="306"/>
        <item x="341"/>
        <item x="327"/>
        <item x="337"/>
        <item x="251"/>
        <item x="248"/>
        <item x="220"/>
        <item x="48"/>
        <item x="183"/>
        <item x="254"/>
        <item x="267"/>
        <item x="266"/>
        <item x="350"/>
        <item x="349"/>
        <item x="28"/>
        <item x="114"/>
        <item x="110"/>
        <item x="243"/>
        <item x="106"/>
        <item x="167"/>
        <item x="43"/>
        <item x="117"/>
        <item x="261"/>
        <item x="299"/>
        <item x="49"/>
        <item x="75"/>
        <item x="84"/>
        <item x="325"/>
        <item x="4"/>
        <item x="131"/>
        <item x="137"/>
        <item x="334"/>
        <item x="281"/>
        <item x="174"/>
        <item x="291"/>
        <item x="232"/>
        <item x="148"/>
        <item x="81"/>
        <item x="346"/>
        <item x="242"/>
        <item x="191"/>
        <item x="262"/>
        <item x="178"/>
        <item x="5"/>
        <item x="201"/>
        <item x="176"/>
        <item x="91"/>
        <item x="138"/>
        <item x="320"/>
        <item x="244"/>
        <item x="35"/>
        <item x="54"/>
        <item x="121"/>
        <item x="268"/>
        <item x="332"/>
        <item x="6"/>
        <item x="216"/>
        <item x="348"/>
        <item x="0"/>
        <item x="126"/>
        <item x="225"/>
        <item x="290"/>
        <item x="296"/>
        <item x="103"/>
        <item x="111"/>
        <item x="68"/>
        <item x="70"/>
        <item x="115"/>
        <item x="315"/>
        <item x="343"/>
        <item x="330"/>
        <item x="282"/>
        <item x="124"/>
        <item x="238"/>
        <item x="57"/>
        <item x="33"/>
        <item x="89"/>
        <item x="345"/>
        <item x="271"/>
        <item x="270"/>
        <item x="93"/>
        <item x="240"/>
        <item x="289"/>
        <item x="202"/>
        <item x="192"/>
        <item x="136"/>
        <item x="185"/>
        <item x="245"/>
        <item x="323"/>
        <item x="353"/>
        <item x="215"/>
        <item x="200"/>
        <item x="233"/>
        <item x="234"/>
        <item x="94"/>
        <item x="284"/>
        <item x="235"/>
        <item x="151"/>
        <item x="328"/>
        <item x="96"/>
        <item x="61"/>
        <item x="104"/>
        <item x="187"/>
        <item x="25"/>
        <item x="169"/>
        <item x="19"/>
        <item x="170"/>
        <item x="285"/>
        <item x="129"/>
        <item x="66"/>
        <item x="259"/>
        <item x="127"/>
        <item x="162"/>
        <item x="230"/>
        <item x="339"/>
        <item x="195"/>
        <item x="311"/>
        <item x="298"/>
        <item x="182"/>
        <item x="44"/>
        <item x="239"/>
        <item x="161"/>
        <item x="153"/>
        <item x="272"/>
        <item x="198"/>
        <item x="313"/>
        <item x="58"/>
        <item t="default"/>
      </items>
    </pivotField>
    <pivotField showAll="0"/>
    <pivotField showAll="0"/>
    <pivotField showAll="0"/>
    <pivotField showAll="0"/>
    <pivotField showAll="0"/>
    <pivotField showAll="0"/>
    <pivotField numFmtId="166" showAll="0"/>
    <pivotField showAll="0"/>
    <pivotField showAll="0"/>
    <pivotField showAll="0">
      <items count="5">
        <item x="0"/>
        <item x="1"/>
        <item x="2"/>
        <item x="3"/>
        <item t="default"/>
      </items>
    </pivotField>
  </pivotFields>
  <rowFields count="1">
    <field x="12"/>
  </rowFields>
  <rowItems count="5">
    <i>
      <x/>
    </i>
    <i>
      <x v="1"/>
    </i>
    <i>
      <x v="2"/>
    </i>
    <i>
      <x v="3"/>
    </i>
    <i t="grand">
      <x/>
    </i>
  </rowItems>
  <colItems count="1">
    <i/>
  </colItems>
  <dataFields count="1">
    <dataField name="Count of Loan_ID" fld="0" subtotal="count" baseField="0" baseItem="0"/>
  </dataFields>
  <chartFormats count="10">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12" count="1" selected="0">
            <x v="0"/>
          </reference>
        </references>
      </pivotArea>
    </chartFormat>
    <chartFormat chart="20" format="22">
      <pivotArea type="data" outline="0" fieldPosition="0">
        <references count="2">
          <reference field="4294967294" count="1" selected="0">
            <x v="0"/>
          </reference>
          <reference field="12" count="1" selected="0">
            <x v="1"/>
          </reference>
        </references>
      </pivotArea>
    </chartFormat>
    <chartFormat chart="20" format="23">
      <pivotArea type="data" outline="0" fieldPosition="0">
        <references count="2">
          <reference field="4294967294" count="1" selected="0">
            <x v="0"/>
          </reference>
          <reference field="12" count="1" selected="0">
            <x v="2"/>
          </reference>
        </references>
      </pivotArea>
    </chartFormat>
    <chartFormat chart="20" format="2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95F87C0D-D2BD-4930-9263-BE231C21EE18}" sourceName="Loan_Purpose">
  <pivotTables>
    <pivotTable tabId="2" name="KPI Header"/>
    <pivotTable tabId="2" name="MTM Header"/>
    <pivotTable tabId="2" name="PMTM Header"/>
    <pivotTable tabId="3" name="Defaults by City"/>
    <pivotTable tabId="3" name="Employment vs Tenure"/>
    <pivotTable tabId="3" name="Loan Purpose"/>
    <pivotTable tabId="3" name="Loan status"/>
    <pivotTable tabId="3" name="Monthly Loan Trend"/>
  </pivotTables>
  <data>
    <tabular pivotCacheId="10160538">
      <items count="5">
        <i x="0" s="1"/>
        <i x="4"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8E84A104-2FF3-4D13-86B8-0B1B04115831}" sourceName="Loan_Status">
  <pivotTables>
    <pivotTable tabId="2" name="KPI Header"/>
    <pivotTable tabId="2" name="MTM Header"/>
    <pivotTable tabId="2" name="PMTM Header"/>
    <pivotTable tabId="3" name="Defaults by City"/>
    <pivotTable tabId="3" name="Employment vs Tenure"/>
    <pivotTable tabId="3" name="Loan Purpose"/>
    <pivotTable tabId="3" name="Loan status"/>
    <pivotTable tabId="3" name="Monthly Loan Trend"/>
  </pivotTables>
  <data>
    <tabular pivotCacheId="1016053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32B5E6-48B2-4FA0-A629-711F93C28380}" sourceName="City">
  <pivotTables>
    <pivotTable tabId="2" name="KPI Header"/>
    <pivotTable tabId="2" name="MTM Header"/>
    <pivotTable tabId="2" name="PMTM Header"/>
    <pivotTable tabId="3" name="Defaults by City"/>
    <pivotTable tabId="3" name="Employment vs Tenure"/>
    <pivotTable tabId="3" name="Loan Purpose"/>
    <pivotTable tabId="3" name="Loan status"/>
    <pivotTable tabId="3" name="Monthly Loan Trend"/>
  </pivotTables>
  <data>
    <tabular pivotCacheId="10160538">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Purpose" xr10:uid="{3D0B327A-9D03-42B2-ACE0-F2D30884AB39}" cache="Slicer_Loan_Purpose" caption="Loan_Purpose" columnCount="2" rowHeight="234950"/>
  <slicer name="Loan_Status" xr10:uid="{0E859BB8-599B-4AE8-8313-4DC6ACF2EE85}" cache="Slicer_Loan_Status" caption="Loan_Status" columnCount="2" rowHeight="234950"/>
  <slicer name="City" xr10:uid="{A9D02020-E156-4AF1-B7A8-90338E9AE3AB}" cache="Slicer_City" caption="City"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Purpose 1" xr10:uid="{A307B60A-E6D8-4FD5-B83D-976275BA3AC0}" cache="Slicer_Loan_Purpose" caption="Loan_Purpose" columnCount="2" style="Slicer Style 1" rowHeight="234950"/>
  <slicer name="Loan_Status 1" xr10:uid="{82C64BF3-87EF-4B05-AE20-2AE3A0EF7D81}" cache="Slicer_Loan_Status" caption="Loan_Status" columnCount="2" style="Slicer Style 1" rowHeight="234950"/>
  <slicer name="City 1" xr10:uid="{A7AE5E8F-169F-4712-B9BA-5C8101F6934A}" cache="Slicer_City" caption="City"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572D0-8C16-47EE-B2AB-E1DC51B06242}" name="Table1" displayName="Table1" ref="A1:U501" totalsRowShown="0" headerRowDxfId="751">
  <tableColumns count="21">
    <tableColumn id="1" xr3:uid="{5DF42E30-19E9-402B-8722-428736152130}" name="Loan_ID"/>
    <tableColumn id="2" xr3:uid="{4F01E8E0-24F7-46A5-9D25-5E756F85F00B}" name="Customer_ID"/>
    <tableColumn id="3" xr3:uid="{44614745-2C95-4308-BBC9-4C0AA7EF3B80}" name="Age"/>
    <tableColumn id="4" xr3:uid="{7F21A2DE-B5E4-4B7D-BC0F-E7BB39A22D36}" name="Gender"/>
    <tableColumn id="5" xr3:uid="{03D188D6-175B-4CB6-BC1D-1C98B96D5CC3}" name="City"/>
    <tableColumn id="6" xr3:uid="{2C11C230-7D63-4C6B-8D87-B3A276E59B96}" name="Employment_Type"/>
    <tableColumn id="7" xr3:uid="{01AA413B-9EA6-4797-BE1E-8EC0C94FE57A}" name="Monthly_Income"/>
    <tableColumn id="8" xr3:uid="{E6E95C50-4A17-448D-B929-AB8AE2B4880C}" name="Loan_Amount"/>
    <tableColumn id="9" xr3:uid="{355AEBC1-F4F5-455E-A7DD-8FE80440002A}" name="Loan_Tenure_Months"/>
    <tableColumn id="10" xr3:uid="{EE6FC637-B30D-4E87-9D97-A8605E73C04C}" name="Interest_Rate"/>
    <tableColumn id="11" xr3:uid="{F9539862-2471-4A50-985E-119D4E38E538}" name="EMI_Amount"/>
    <tableColumn id="12" xr3:uid="{3AE851ED-6034-4A2F-89E6-F4481D912638}" name="Loan_Purpose"/>
    <tableColumn id="13" xr3:uid="{73571F2E-2D0F-4097-9DA6-E490BD6D6DE1}" name="Loan_Status"/>
    <tableColumn id="14" xr3:uid="{11034B91-2692-47DA-B174-BD775D4E5EF0}" name="Disbursement_Date" dataDxfId="750"/>
    <tableColumn id="15" xr3:uid="{21ECEEF1-5F0A-48CF-B9DF-8D19D663CE24}" name="Closure_Date"/>
    <tableColumn id="16" xr3:uid="{10CACD2C-BFB4-4BEF-8BD3-46EA0F202F91}" name="Days_to_Close"/>
    <tableColumn id="17" xr3:uid="{39630FAC-1777-476A-B4A9-7616FE06D611}" name="Credit_Score"/>
    <tableColumn id="18" xr3:uid="{4B4DED6A-C587-4F47-BF5E-B94CC0C09E08}" name="DPD_30"/>
    <tableColumn id="19" xr3:uid="{62D8BC04-711E-43D1-B749-10EA768C2B5B}" name="Recovery_Amount"/>
    <tableColumn id="20" xr3:uid="{F55FC771-CDAA-44CB-8711-6D13786B19FF}" name="Disbursment Month" dataDxfId="749"/>
    <tableColumn id="21" xr3:uid="{465FB40C-2B6A-4438-B878-96BBACC884C4}" name="Default Interest Rate" dataDxfId="747">
      <calculatedColumnFormula>COUNTIF(Table1[Loan_Status],"Defaulted")/COUNTA(Table1[Loan_ID])</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isbursement_Date" xr10:uid="{08F1D8BD-4DB0-41AB-A608-4431E7FB851E}" sourceName="Disbursement_Date">
  <pivotTables>
    <pivotTable tabId="2" name="KPI Header"/>
    <pivotTable tabId="2" name="MTM Header"/>
    <pivotTable tabId="2" name="PMTM Header"/>
    <pivotTable tabId="3" name="Defaults by City"/>
    <pivotTable tabId="3" name="Employment vs Tenure"/>
    <pivotTable tabId="3" name="Loan Purpose"/>
    <pivotTable tabId="3" name="Loan status"/>
    <pivotTable tabId="3" name="Monthly Loan Trend"/>
  </pivotTables>
  <state minimalRefreshVersion="6" lastRefreshVersion="6" pivotCacheId="10160538"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_Date" xr10:uid="{CF62D263-3F78-485E-800C-1063EF5CD6AF}" cache="NativeTimeline_Disbursement_Date" caption="Disbursement_Date" level="2" selectionLevel="2" scrollPosition="2023-05-18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_Date 1" xr10:uid="{B80913B0-B90D-496E-8C1A-6494BA663089}" cache="NativeTimeline_Disbursement_Date" caption="Disbursement_Date" level="2" selectionLevel="2" scrollPosition="2022-01-01T00:00:00" style="loan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zoomScale="143" workbookViewId="0">
      <pane ySplit="1" topLeftCell="A2" activePane="bottomLeft" state="frozen"/>
      <selection pane="bottomLeft" activeCell="A2" sqref="A2"/>
    </sheetView>
  </sheetViews>
  <sheetFormatPr defaultRowHeight="14.4" x14ac:dyDescent="0.3"/>
  <cols>
    <col min="1" max="1" width="9.44140625" customWidth="1"/>
    <col min="2" max="2" width="13.5546875" customWidth="1"/>
    <col min="3" max="3" width="5.5546875" customWidth="1"/>
    <col min="4" max="4" width="8.5546875" customWidth="1"/>
    <col min="5" max="5" width="9.88671875" bestFit="1" customWidth="1"/>
    <col min="6" max="6" width="18.5546875" customWidth="1"/>
    <col min="7" max="7" width="16.88671875" customWidth="1"/>
    <col min="8" max="8" width="14.5546875" customWidth="1"/>
    <col min="9" max="9" width="21.5546875" customWidth="1"/>
    <col min="10" max="10" width="13.6640625" customWidth="1"/>
    <col min="11" max="11" width="13.5546875" customWidth="1"/>
    <col min="12" max="12" width="15" customWidth="1"/>
    <col min="13" max="13" width="13.21875" customWidth="1"/>
    <col min="14" max="14" width="19.33203125" style="10" customWidth="1"/>
    <col min="15" max="15" width="13.88671875" customWidth="1"/>
    <col min="16" max="16" width="15.21875" customWidth="1"/>
    <col min="17" max="17" width="13.5546875" customWidth="1"/>
    <col min="18" max="18" width="8.88671875" customWidth="1"/>
    <col min="19" max="19" width="18.33203125" customWidth="1"/>
    <col min="20" max="20" width="19.6640625" style="10" customWidth="1"/>
    <col min="21" max="21" width="19.1093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1" t="s">
        <v>13</v>
      </c>
      <c r="O1" s="1" t="s">
        <v>14</v>
      </c>
      <c r="P1" s="1" t="s">
        <v>15</v>
      </c>
      <c r="Q1" s="1" t="s">
        <v>16</v>
      </c>
      <c r="R1" s="1" t="s">
        <v>17</v>
      </c>
      <c r="S1" s="1" t="s">
        <v>18</v>
      </c>
      <c r="T1" s="9" t="s">
        <v>1259</v>
      </c>
      <c r="U1" s="22" t="s">
        <v>1294</v>
      </c>
    </row>
    <row r="2" spans="1:21" x14ac:dyDescent="0.3">
      <c r="A2" t="s">
        <v>19</v>
      </c>
      <c r="B2" t="s">
        <v>20</v>
      </c>
      <c r="C2">
        <v>22</v>
      </c>
      <c r="D2" t="s">
        <v>21</v>
      </c>
      <c r="E2" t="s">
        <v>22</v>
      </c>
      <c r="F2" t="s">
        <v>23</v>
      </c>
      <c r="G2">
        <v>51579</v>
      </c>
      <c r="H2">
        <v>391123</v>
      </c>
      <c r="I2">
        <v>3</v>
      </c>
      <c r="J2">
        <v>28.24</v>
      </c>
      <c r="K2">
        <v>136558.19</v>
      </c>
      <c r="L2" t="s">
        <v>24</v>
      </c>
      <c r="M2" t="s">
        <v>25</v>
      </c>
      <c r="N2" s="12">
        <v>45166</v>
      </c>
      <c r="Q2">
        <v>732</v>
      </c>
      <c r="R2" t="s">
        <v>26</v>
      </c>
      <c r="S2">
        <v>0</v>
      </c>
      <c r="T2" s="10" t="s">
        <v>1261</v>
      </c>
      <c r="U2" s="23">
        <f>COUNTIF(Table1[Loan_Status],"Defaulted")/COUNTA(Table1[Loan_ID])</f>
        <v>0.248</v>
      </c>
    </row>
    <row r="3" spans="1:21" x14ac:dyDescent="0.3">
      <c r="A3" t="s">
        <v>27</v>
      </c>
      <c r="B3" t="s">
        <v>28</v>
      </c>
      <c r="C3">
        <v>34</v>
      </c>
      <c r="D3" t="s">
        <v>29</v>
      </c>
      <c r="E3" t="s">
        <v>30</v>
      </c>
      <c r="F3" t="s">
        <v>23</v>
      </c>
      <c r="G3">
        <v>67124</v>
      </c>
      <c r="H3">
        <v>380400</v>
      </c>
      <c r="I3">
        <v>24</v>
      </c>
      <c r="J3">
        <v>22.07</v>
      </c>
      <c r="K3">
        <v>19747.599999999999</v>
      </c>
      <c r="L3" t="s">
        <v>31</v>
      </c>
      <c r="M3" t="s">
        <v>32</v>
      </c>
      <c r="N3" s="12">
        <v>44568</v>
      </c>
      <c r="Q3">
        <v>463</v>
      </c>
      <c r="R3" t="s">
        <v>26</v>
      </c>
      <c r="S3">
        <v>223940.56</v>
      </c>
      <c r="T3" s="10" t="s">
        <v>1262</v>
      </c>
      <c r="U3" s="23">
        <f>COUNTIF(Table1[Loan_Status],"Defaulted")/COUNTA(Table1[Loan_ID])</f>
        <v>0.248</v>
      </c>
    </row>
    <row r="4" spans="1:21" x14ac:dyDescent="0.3">
      <c r="A4" t="s">
        <v>33</v>
      </c>
      <c r="B4" t="s">
        <v>34</v>
      </c>
      <c r="C4">
        <v>38</v>
      </c>
      <c r="D4" t="s">
        <v>29</v>
      </c>
      <c r="E4" t="s">
        <v>22</v>
      </c>
      <c r="F4" t="s">
        <v>35</v>
      </c>
      <c r="G4">
        <v>41793</v>
      </c>
      <c r="H4">
        <v>53625</v>
      </c>
      <c r="I4">
        <v>18</v>
      </c>
      <c r="J4">
        <v>14.32</v>
      </c>
      <c r="K4">
        <v>3328.25</v>
      </c>
      <c r="L4" t="s">
        <v>36</v>
      </c>
      <c r="M4" t="s">
        <v>32</v>
      </c>
      <c r="N4" s="12">
        <v>44606</v>
      </c>
      <c r="Q4">
        <v>770</v>
      </c>
      <c r="R4" t="s">
        <v>26</v>
      </c>
      <c r="S4">
        <v>25491.16</v>
      </c>
      <c r="T4" s="10" t="s">
        <v>1263</v>
      </c>
      <c r="U4" s="23">
        <f>COUNTIF(Table1[Loan_Status],"Defaulted")/COUNTA(Table1[Loan_ID])</f>
        <v>0.248</v>
      </c>
    </row>
    <row r="5" spans="1:21" x14ac:dyDescent="0.3">
      <c r="A5" t="s">
        <v>37</v>
      </c>
      <c r="B5" t="s">
        <v>38</v>
      </c>
      <c r="C5">
        <v>26</v>
      </c>
      <c r="D5" t="s">
        <v>21</v>
      </c>
      <c r="E5" t="s">
        <v>30</v>
      </c>
      <c r="F5" t="s">
        <v>35</v>
      </c>
      <c r="G5">
        <v>65407</v>
      </c>
      <c r="H5">
        <v>374398</v>
      </c>
      <c r="I5">
        <v>3</v>
      </c>
      <c r="J5">
        <v>13.1</v>
      </c>
      <c r="K5">
        <v>127533.98</v>
      </c>
      <c r="L5" t="s">
        <v>39</v>
      </c>
      <c r="M5" t="s">
        <v>32</v>
      </c>
      <c r="N5" s="12">
        <v>44643</v>
      </c>
      <c r="Q5">
        <v>538</v>
      </c>
      <c r="R5" t="s">
        <v>26</v>
      </c>
      <c r="S5">
        <v>264526.63</v>
      </c>
      <c r="T5" s="10" t="s">
        <v>1264</v>
      </c>
      <c r="U5" s="23">
        <f>COUNTIF(Table1[Loan_Status],"Defaulted")/COUNTA(Table1[Loan_ID])</f>
        <v>0.248</v>
      </c>
    </row>
    <row r="6" spans="1:21" x14ac:dyDescent="0.3">
      <c r="A6" t="s">
        <v>40</v>
      </c>
      <c r="B6" t="s">
        <v>41</v>
      </c>
      <c r="C6">
        <v>38</v>
      </c>
      <c r="D6" t="s">
        <v>21</v>
      </c>
      <c r="E6" t="s">
        <v>42</v>
      </c>
      <c r="F6" t="s">
        <v>23</v>
      </c>
      <c r="G6">
        <v>112040</v>
      </c>
      <c r="H6">
        <v>191264</v>
      </c>
      <c r="I6">
        <v>6</v>
      </c>
      <c r="J6">
        <v>28.08</v>
      </c>
      <c r="K6">
        <v>34538.39</v>
      </c>
      <c r="L6" t="s">
        <v>43</v>
      </c>
      <c r="M6" t="s">
        <v>44</v>
      </c>
      <c r="N6" s="12">
        <v>45108</v>
      </c>
      <c r="O6" t="s">
        <v>45</v>
      </c>
      <c r="P6">
        <v>125</v>
      </c>
      <c r="Q6">
        <v>467</v>
      </c>
      <c r="R6" t="s">
        <v>46</v>
      </c>
      <c r="S6">
        <v>0</v>
      </c>
      <c r="T6" s="10" t="s">
        <v>1265</v>
      </c>
      <c r="U6" s="23">
        <f>COUNTIF(Table1[Loan_Status],"Defaulted")/COUNTA(Table1[Loan_ID])</f>
        <v>0.248</v>
      </c>
    </row>
    <row r="7" spans="1:21" x14ac:dyDescent="0.3">
      <c r="A7" t="s">
        <v>47</v>
      </c>
      <c r="B7" t="s">
        <v>48</v>
      </c>
      <c r="C7">
        <v>35</v>
      </c>
      <c r="D7" t="s">
        <v>21</v>
      </c>
      <c r="E7" t="s">
        <v>49</v>
      </c>
      <c r="F7" t="s">
        <v>23</v>
      </c>
      <c r="G7">
        <v>23414</v>
      </c>
      <c r="H7">
        <v>427075</v>
      </c>
      <c r="I7">
        <v>12</v>
      </c>
      <c r="J7">
        <v>21.63</v>
      </c>
      <c r="K7">
        <v>39895.81</v>
      </c>
      <c r="L7" t="s">
        <v>43</v>
      </c>
      <c r="M7" t="s">
        <v>44</v>
      </c>
      <c r="N7" s="12">
        <v>45142</v>
      </c>
      <c r="O7" t="s">
        <v>51</v>
      </c>
      <c r="P7">
        <v>161</v>
      </c>
      <c r="Q7">
        <v>517</v>
      </c>
      <c r="R7" t="s">
        <v>46</v>
      </c>
      <c r="S7">
        <v>0</v>
      </c>
      <c r="T7" s="10" t="s">
        <v>1261</v>
      </c>
      <c r="U7" s="23">
        <f>COUNTIF(Table1[Loan_Status],"Defaulted")/COUNTA(Table1[Loan_ID])</f>
        <v>0.248</v>
      </c>
    </row>
    <row r="8" spans="1:21" x14ac:dyDescent="0.3">
      <c r="A8" t="s">
        <v>52</v>
      </c>
      <c r="B8" t="s">
        <v>53</v>
      </c>
      <c r="C8">
        <v>50</v>
      </c>
      <c r="D8" t="s">
        <v>29</v>
      </c>
      <c r="E8" t="s">
        <v>42</v>
      </c>
      <c r="F8" t="s">
        <v>23</v>
      </c>
      <c r="G8">
        <v>79651</v>
      </c>
      <c r="H8">
        <v>395588</v>
      </c>
      <c r="I8">
        <v>24</v>
      </c>
      <c r="J8">
        <v>24.94</v>
      </c>
      <c r="K8">
        <v>21101.23</v>
      </c>
      <c r="L8" t="s">
        <v>24</v>
      </c>
      <c r="M8" t="s">
        <v>54</v>
      </c>
      <c r="N8" s="12">
        <v>45159</v>
      </c>
      <c r="O8" t="s">
        <v>56</v>
      </c>
      <c r="P8">
        <v>204</v>
      </c>
      <c r="Q8">
        <v>670</v>
      </c>
      <c r="R8" t="s">
        <v>26</v>
      </c>
      <c r="S8">
        <v>0</v>
      </c>
      <c r="T8" s="10" t="s">
        <v>1261</v>
      </c>
      <c r="U8" s="23">
        <f>COUNTIF(Table1[Loan_Status],"Defaulted")/COUNTA(Table1[Loan_ID])</f>
        <v>0.248</v>
      </c>
    </row>
    <row r="9" spans="1:21" x14ac:dyDescent="0.3">
      <c r="A9" t="s">
        <v>57</v>
      </c>
      <c r="B9" t="s">
        <v>58</v>
      </c>
      <c r="C9">
        <v>29</v>
      </c>
      <c r="D9" t="s">
        <v>21</v>
      </c>
      <c r="E9" t="s">
        <v>49</v>
      </c>
      <c r="F9" t="s">
        <v>23</v>
      </c>
      <c r="G9">
        <v>43743</v>
      </c>
      <c r="H9">
        <v>85132</v>
      </c>
      <c r="I9">
        <v>6</v>
      </c>
      <c r="J9">
        <v>31.01</v>
      </c>
      <c r="K9">
        <v>15499.25</v>
      </c>
      <c r="L9" t="s">
        <v>31</v>
      </c>
      <c r="M9" t="s">
        <v>25</v>
      </c>
      <c r="N9" s="12">
        <v>44956</v>
      </c>
      <c r="Q9">
        <v>690</v>
      </c>
      <c r="R9" t="s">
        <v>46</v>
      </c>
      <c r="S9">
        <v>0</v>
      </c>
      <c r="T9" s="10" t="s">
        <v>1266</v>
      </c>
      <c r="U9" s="23">
        <f>COUNTIF(Table1[Loan_Status],"Defaulted")/COUNTA(Table1[Loan_ID])</f>
        <v>0.248</v>
      </c>
    </row>
    <row r="10" spans="1:21" x14ac:dyDescent="0.3">
      <c r="A10" t="s">
        <v>60</v>
      </c>
      <c r="B10" t="s">
        <v>61</v>
      </c>
      <c r="C10">
        <v>54</v>
      </c>
      <c r="D10" t="s">
        <v>21</v>
      </c>
      <c r="E10" t="s">
        <v>30</v>
      </c>
      <c r="F10" t="s">
        <v>23</v>
      </c>
      <c r="G10">
        <v>45029</v>
      </c>
      <c r="H10">
        <v>362412</v>
      </c>
      <c r="I10">
        <v>24</v>
      </c>
      <c r="J10">
        <v>30.02</v>
      </c>
      <c r="K10">
        <v>20267.21</v>
      </c>
      <c r="L10" t="s">
        <v>36</v>
      </c>
      <c r="M10" t="s">
        <v>25</v>
      </c>
      <c r="N10" s="12">
        <v>44862</v>
      </c>
      <c r="Q10">
        <v>745</v>
      </c>
      <c r="R10" t="s">
        <v>46</v>
      </c>
      <c r="S10">
        <v>0</v>
      </c>
      <c r="T10" s="10" t="s">
        <v>1267</v>
      </c>
      <c r="U10" s="23">
        <f>COUNTIF(Table1[Loan_Status],"Defaulted")/COUNTA(Table1[Loan_ID])</f>
        <v>0.248</v>
      </c>
    </row>
    <row r="11" spans="1:21" x14ac:dyDescent="0.3">
      <c r="A11" t="s">
        <v>62</v>
      </c>
      <c r="B11" t="s">
        <v>63</v>
      </c>
      <c r="C11">
        <v>37</v>
      </c>
      <c r="D11" t="s">
        <v>29</v>
      </c>
      <c r="E11" t="s">
        <v>30</v>
      </c>
      <c r="F11" t="s">
        <v>23</v>
      </c>
      <c r="G11">
        <v>93235</v>
      </c>
      <c r="H11">
        <v>446277</v>
      </c>
      <c r="I11">
        <v>24</v>
      </c>
      <c r="J11">
        <v>26.62</v>
      </c>
      <c r="K11">
        <v>24182.76</v>
      </c>
      <c r="L11" t="s">
        <v>39</v>
      </c>
      <c r="M11" t="s">
        <v>32</v>
      </c>
      <c r="N11" s="12">
        <v>44727</v>
      </c>
      <c r="Q11">
        <v>843</v>
      </c>
      <c r="R11" t="s">
        <v>26</v>
      </c>
      <c r="S11">
        <v>331559.46000000002</v>
      </c>
      <c r="T11" s="10" t="s">
        <v>1268</v>
      </c>
      <c r="U11" s="23">
        <f>COUNTIF(Table1[Loan_Status],"Defaulted")/COUNTA(Table1[Loan_ID])</f>
        <v>0.248</v>
      </c>
    </row>
    <row r="12" spans="1:21" x14ac:dyDescent="0.3">
      <c r="A12" t="s">
        <v>64</v>
      </c>
      <c r="B12" t="s">
        <v>65</v>
      </c>
      <c r="C12">
        <v>52</v>
      </c>
      <c r="D12" t="s">
        <v>29</v>
      </c>
      <c r="E12" t="s">
        <v>49</v>
      </c>
      <c r="F12" t="s">
        <v>35</v>
      </c>
      <c r="G12">
        <v>95612</v>
      </c>
      <c r="H12">
        <v>130541</v>
      </c>
      <c r="I12">
        <v>3</v>
      </c>
      <c r="J12">
        <v>17.78</v>
      </c>
      <c r="K12">
        <v>44809.440000000002</v>
      </c>
      <c r="L12" t="s">
        <v>24</v>
      </c>
      <c r="M12" t="s">
        <v>25</v>
      </c>
      <c r="N12" s="12">
        <v>44649</v>
      </c>
      <c r="Q12">
        <v>797</v>
      </c>
      <c r="R12" t="s">
        <v>46</v>
      </c>
      <c r="S12">
        <v>0</v>
      </c>
      <c r="T12" s="10" t="s">
        <v>1264</v>
      </c>
      <c r="U12" s="23">
        <f>COUNTIF(Table1[Loan_Status],"Defaulted")/COUNTA(Table1[Loan_ID])</f>
        <v>0.248</v>
      </c>
    </row>
    <row r="13" spans="1:21" x14ac:dyDescent="0.3">
      <c r="A13" t="s">
        <v>66</v>
      </c>
      <c r="B13" t="s">
        <v>67</v>
      </c>
      <c r="C13">
        <v>29</v>
      </c>
      <c r="D13" t="s">
        <v>29</v>
      </c>
      <c r="E13" t="s">
        <v>68</v>
      </c>
      <c r="F13" t="s">
        <v>23</v>
      </c>
      <c r="G13">
        <v>84483</v>
      </c>
      <c r="H13">
        <v>281653</v>
      </c>
      <c r="I13">
        <v>24</v>
      </c>
      <c r="J13">
        <v>22.16</v>
      </c>
      <c r="K13">
        <v>14633.9</v>
      </c>
      <c r="L13" t="s">
        <v>39</v>
      </c>
      <c r="M13" t="s">
        <v>44</v>
      </c>
      <c r="N13" s="12">
        <v>44881</v>
      </c>
      <c r="O13" t="s">
        <v>70</v>
      </c>
      <c r="P13">
        <v>408</v>
      </c>
      <c r="Q13">
        <v>682</v>
      </c>
      <c r="R13" t="s">
        <v>46</v>
      </c>
      <c r="S13">
        <v>0</v>
      </c>
      <c r="T13" s="10" t="s">
        <v>1269</v>
      </c>
      <c r="U13" s="23">
        <f>COUNTIF(Table1[Loan_Status],"Defaulted")/COUNTA(Table1[Loan_ID])</f>
        <v>0.248</v>
      </c>
    </row>
    <row r="14" spans="1:21" x14ac:dyDescent="0.3">
      <c r="A14" t="s">
        <v>71</v>
      </c>
      <c r="B14" t="s">
        <v>72</v>
      </c>
      <c r="C14">
        <v>49</v>
      </c>
      <c r="D14" t="s">
        <v>29</v>
      </c>
      <c r="E14" t="s">
        <v>22</v>
      </c>
      <c r="F14" t="s">
        <v>23</v>
      </c>
      <c r="G14">
        <v>31784</v>
      </c>
      <c r="H14">
        <v>182254</v>
      </c>
      <c r="I14">
        <v>3</v>
      </c>
      <c r="J14">
        <v>26.12</v>
      </c>
      <c r="K14">
        <v>63415.02</v>
      </c>
      <c r="L14" t="s">
        <v>39</v>
      </c>
      <c r="M14" t="s">
        <v>44</v>
      </c>
      <c r="N14" s="12">
        <v>44569</v>
      </c>
      <c r="O14" t="s">
        <v>73</v>
      </c>
      <c r="P14">
        <v>72</v>
      </c>
      <c r="Q14">
        <v>360</v>
      </c>
      <c r="R14" t="s">
        <v>46</v>
      </c>
      <c r="S14">
        <v>0</v>
      </c>
      <c r="T14" s="10" t="s">
        <v>1262</v>
      </c>
      <c r="U14" s="23">
        <f>COUNTIF(Table1[Loan_Status],"Defaulted")/COUNTA(Table1[Loan_ID])</f>
        <v>0.248</v>
      </c>
    </row>
    <row r="15" spans="1:21" x14ac:dyDescent="0.3">
      <c r="A15" t="s">
        <v>74</v>
      </c>
      <c r="B15" t="s">
        <v>75</v>
      </c>
      <c r="C15">
        <v>42</v>
      </c>
      <c r="D15" t="s">
        <v>29</v>
      </c>
      <c r="E15" t="s">
        <v>30</v>
      </c>
      <c r="F15" t="s">
        <v>23</v>
      </c>
      <c r="G15">
        <v>88001</v>
      </c>
      <c r="H15">
        <v>355737</v>
      </c>
      <c r="I15">
        <v>18</v>
      </c>
      <c r="J15">
        <v>17.14</v>
      </c>
      <c r="K15">
        <v>22552.51</v>
      </c>
      <c r="L15" t="s">
        <v>39</v>
      </c>
      <c r="M15" t="s">
        <v>54</v>
      </c>
      <c r="N15" s="12">
        <v>44810</v>
      </c>
      <c r="O15" t="s">
        <v>76</v>
      </c>
      <c r="P15">
        <v>484</v>
      </c>
      <c r="Q15">
        <v>716</v>
      </c>
      <c r="R15" t="s">
        <v>26</v>
      </c>
      <c r="S15">
        <v>0</v>
      </c>
      <c r="T15" s="10" t="s">
        <v>1270</v>
      </c>
      <c r="U15" s="23">
        <f>COUNTIF(Table1[Loan_Status],"Defaulted")/COUNTA(Table1[Loan_ID])</f>
        <v>0.248</v>
      </c>
    </row>
    <row r="16" spans="1:21" x14ac:dyDescent="0.3">
      <c r="A16" t="s">
        <v>77</v>
      </c>
      <c r="B16" t="s">
        <v>78</v>
      </c>
      <c r="C16">
        <v>27</v>
      </c>
      <c r="D16" t="s">
        <v>29</v>
      </c>
      <c r="E16" t="s">
        <v>68</v>
      </c>
      <c r="F16" t="s">
        <v>35</v>
      </c>
      <c r="G16">
        <v>126038</v>
      </c>
      <c r="H16">
        <v>220535</v>
      </c>
      <c r="I16">
        <v>18</v>
      </c>
      <c r="J16">
        <v>32.729999999999997</v>
      </c>
      <c r="K16">
        <v>15667.68</v>
      </c>
      <c r="L16" t="s">
        <v>43</v>
      </c>
      <c r="M16" t="s">
        <v>25</v>
      </c>
      <c r="N16" s="12">
        <v>44624</v>
      </c>
      <c r="Q16">
        <v>712</v>
      </c>
      <c r="R16" t="s">
        <v>46</v>
      </c>
      <c r="S16">
        <v>0</v>
      </c>
      <c r="T16" s="10" t="s">
        <v>1264</v>
      </c>
      <c r="U16" s="23">
        <f>COUNTIF(Table1[Loan_Status],"Defaulted")/COUNTA(Table1[Loan_ID])</f>
        <v>0.248</v>
      </c>
    </row>
    <row r="17" spans="1:21" x14ac:dyDescent="0.3">
      <c r="A17" t="s">
        <v>79</v>
      </c>
      <c r="B17" t="s">
        <v>80</v>
      </c>
      <c r="C17">
        <v>36</v>
      </c>
      <c r="D17" t="s">
        <v>29</v>
      </c>
      <c r="E17" t="s">
        <v>22</v>
      </c>
      <c r="F17" t="s">
        <v>35</v>
      </c>
      <c r="G17">
        <v>51747</v>
      </c>
      <c r="H17">
        <v>226187</v>
      </c>
      <c r="I17">
        <v>6</v>
      </c>
      <c r="J17">
        <v>18.690000000000001</v>
      </c>
      <c r="K17">
        <v>39779.300000000003</v>
      </c>
      <c r="L17" t="s">
        <v>39</v>
      </c>
      <c r="M17" t="s">
        <v>25</v>
      </c>
      <c r="N17" s="12">
        <v>45015</v>
      </c>
      <c r="Q17">
        <v>400</v>
      </c>
      <c r="R17" t="s">
        <v>26</v>
      </c>
      <c r="S17">
        <v>0</v>
      </c>
      <c r="T17" s="10" t="s">
        <v>1271</v>
      </c>
      <c r="U17" s="23">
        <f>COUNTIF(Table1[Loan_Status],"Defaulted")/COUNTA(Table1[Loan_ID])</f>
        <v>0.248</v>
      </c>
    </row>
    <row r="18" spans="1:21" x14ac:dyDescent="0.3">
      <c r="A18" t="s">
        <v>82</v>
      </c>
      <c r="B18" t="s">
        <v>83</v>
      </c>
      <c r="C18">
        <v>21</v>
      </c>
      <c r="D18" t="s">
        <v>29</v>
      </c>
      <c r="E18" t="s">
        <v>22</v>
      </c>
      <c r="F18" t="s">
        <v>23</v>
      </c>
      <c r="G18">
        <v>121539</v>
      </c>
      <c r="H18">
        <v>259615</v>
      </c>
      <c r="I18">
        <v>18</v>
      </c>
      <c r="J18">
        <v>17.13</v>
      </c>
      <c r="K18">
        <v>16457.47</v>
      </c>
      <c r="L18" t="s">
        <v>31</v>
      </c>
      <c r="M18" t="s">
        <v>25</v>
      </c>
      <c r="N18" s="12">
        <v>44730</v>
      </c>
      <c r="Q18">
        <v>688</v>
      </c>
      <c r="R18" t="s">
        <v>26</v>
      </c>
      <c r="S18">
        <v>0</v>
      </c>
      <c r="T18" s="10" t="s">
        <v>1268</v>
      </c>
      <c r="U18" s="23">
        <f>COUNTIF(Table1[Loan_Status],"Defaulted")/COUNTA(Table1[Loan_ID])</f>
        <v>0.248</v>
      </c>
    </row>
    <row r="19" spans="1:21" x14ac:dyDescent="0.3">
      <c r="A19" t="s">
        <v>84</v>
      </c>
      <c r="B19" t="s">
        <v>85</v>
      </c>
      <c r="C19">
        <v>37</v>
      </c>
      <c r="D19" t="s">
        <v>21</v>
      </c>
      <c r="E19" t="s">
        <v>42</v>
      </c>
      <c r="F19" t="s">
        <v>35</v>
      </c>
      <c r="G19">
        <v>142577</v>
      </c>
      <c r="H19">
        <v>86158</v>
      </c>
      <c r="I19">
        <v>6</v>
      </c>
      <c r="J19">
        <v>19.12</v>
      </c>
      <c r="K19">
        <v>15171</v>
      </c>
      <c r="L19" t="s">
        <v>43</v>
      </c>
      <c r="M19" t="s">
        <v>25</v>
      </c>
      <c r="N19" s="12">
        <v>44883</v>
      </c>
      <c r="Q19">
        <v>358</v>
      </c>
      <c r="R19" t="s">
        <v>26</v>
      </c>
      <c r="S19">
        <v>0</v>
      </c>
      <c r="T19" s="10" t="s">
        <v>1269</v>
      </c>
      <c r="U19" s="23">
        <f>COUNTIF(Table1[Loan_Status],"Defaulted")/COUNTA(Table1[Loan_ID])</f>
        <v>0.248</v>
      </c>
    </row>
    <row r="20" spans="1:21" x14ac:dyDescent="0.3">
      <c r="A20" t="s">
        <v>86</v>
      </c>
      <c r="B20" t="s">
        <v>87</v>
      </c>
      <c r="C20">
        <v>53</v>
      </c>
      <c r="D20" t="s">
        <v>29</v>
      </c>
      <c r="E20" t="s">
        <v>49</v>
      </c>
      <c r="F20" t="s">
        <v>23</v>
      </c>
      <c r="G20">
        <v>63712</v>
      </c>
      <c r="H20">
        <v>40924</v>
      </c>
      <c r="I20">
        <v>24</v>
      </c>
      <c r="J20">
        <v>13.63</v>
      </c>
      <c r="K20">
        <v>1957.73</v>
      </c>
      <c r="L20" t="s">
        <v>39</v>
      </c>
      <c r="M20" t="s">
        <v>54</v>
      </c>
      <c r="N20" s="12">
        <v>44684</v>
      </c>
      <c r="O20" t="s">
        <v>88</v>
      </c>
      <c r="P20">
        <v>583</v>
      </c>
      <c r="Q20">
        <v>552</v>
      </c>
      <c r="R20" t="s">
        <v>26</v>
      </c>
      <c r="S20">
        <v>0</v>
      </c>
      <c r="T20" s="10" t="s">
        <v>1272</v>
      </c>
      <c r="U20" s="23">
        <f>COUNTIF(Table1[Loan_Status],"Defaulted")/COUNTA(Table1[Loan_ID])</f>
        <v>0.248</v>
      </c>
    </row>
    <row r="21" spans="1:21" x14ac:dyDescent="0.3">
      <c r="A21" t="s">
        <v>89</v>
      </c>
      <c r="B21" t="s">
        <v>90</v>
      </c>
      <c r="C21">
        <v>26</v>
      </c>
      <c r="D21" t="s">
        <v>21</v>
      </c>
      <c r="E21" t="s">
        <v>30</v>
      </c>
      <c r="F21" t="s">
        <v>35</v>
      </c>
      <c r="G21">
        <v>83358</v>
      </c>
      <c r="H21">
        <v>112090</v>
      </c>
      <c r="I21">
        <v>12</v>
      </c>
      <c r="J21">
        <v>17.73</v>
      </c>
      <c r="K21">
        <v>10262.01</v>
      </c>
      <c r="L21" t="s">
        <v>31</v>
      </c>
      <c r="M21" t="s">
        <v>44</v>
      </c>
      <c r="N21" s="12">
        <v>45249</v>
      </c>
      <c r="O21" t="s">
        <v>92</v>
      </c>
      <c r="P21">
        <v>165</v>
      </c>
      <c r="Q21">
        <v>607</v>
      </c>
      <c r="R21" t="s">
        <v>46</v>
      </c>
      <c r="S21">
        <v>0</v>
      </c>
      <c r="T21" s="10" t="s">
        <v>1273</v>
      </c>
      <c r="U21" s="23">
        <f>COUNTIF(Table1[Loan_Status],"Defaulted")/COUNTA(Table1[Loan_ID])</f>
        <v>0.248</v>
      </c>
    </row>
    <row r="22" spans="1:21" x14ac:dyDescent="0.3">
      <c r="A22" t="s">
        <v>93</v>
      </c>
      <c r="B22" t="s">
        <v>94</v>
      </c>
      <c r="C22">
        <v>21</v>
      </c>
      <c r="D22" t="s">
        <v>21</v>
      </c>
      <c r="E22" t="s">
        <v>30</v>
      </c>
      <c r="F22" t="s">
        <v>23</v>
      </c>
      <c r="G22">
        <v>34204</v>
      </c>
      <c r="H22">
        <v>286875</v>
      </c>
      <c r="I22">
        <v>6</v>
      </c>
      <c r="J22">
        <v>24.14</v>
      </c>
      <c r="K22">
        <v>51234.76</v>
      </c>
      <c r="L22" t="s">
        <v>39</v>
      </c>
      <c r="M22" t="s">
        <v>32</v>
      </c>
      <c r="N22" s="12">
        <v>44632</v>
      </c>
      <c r="Q22">
        <v>550</v>
      </c>
      <c r="R22" t="s">
        <v>26</v>
      </c>
      <c r="S22">
        <v>102893.16</v>
      </c>
      <c r="T22" s="10" t="s">
        <v>1264</v>
      </c>
      <c r="U22" s="23">
        <f>COUNTIF(Table1[Loan_Status],"Defaulted")/COUNTA(Table1[Loan_ID])</f>
        <v>0.248</v>
      </c>
    </row>
    <row r="23" spans="1:21" x14ac:dyDescent="0.3">
      <c r="A23" t="s">
        <v>95</v>
      </c>
      <c r="B23" t="s">
        <v>96</v>
      </c>
      <c r="C23">
        <v>49</v>
      </c>
      <c r="D23" t="s">
        <v>21</v>
      </c>
      <c r="E23" t="s">
        <v>30</v>
      </c>
      <c r="F23" t="s">
        <v>23</v>
      </c>
      <c r="G23">
        <v>93480</v>
      </c>
      <c r="H23">
        <v>493508</v>
      </c>
      <c r="I23">
        <v>3</v>
      </c>
      <c r="J23">
        <v>34.53</v>
      </c>
      <c r="K23">
        <v>174059.31</v>
      </c>
      <c r="L23" t="s">
        <v>39</v>
      </c>
      <c r="M23" t="s">
        <v>32</v>
      </c>
      <c r="N23" s="12">
        <v>44680</v>
      </c>
      <c r="Q23">
        <v>409</v>
      </c>
      <c r="R23" t="s">
        <v>26</v>
      </c>
      <c r="S23">
        <v>305822.8</v>
      </c>
      <c r="T23" s="10" t="s">
        <v>1274</v>
      </c>
      <c r="U23" s="23">
        <f>COUNTIF(Table1[Loan_Status],"Defaulted")/COUNTA(Table1[Loan_ID])</f>
        <v>0.248</v>
      </c>
    </row>
    <row r="24" spans="1:21" x14ac:dyDescent="0.3">
      <c r="A24" t="s">
        <v>97</v>
      </c>
      <c r="B24" t="s">
        <v>98</v>
      </c>
      <c r="C24">
        <v>38</v>
      </c>
      <c r="D24" t="s">
        <v>21</v>
      </c>
      <c r="E24" t="s">
        <v>30</v>
      </c>
      <c r="F24" t="s">
        <v>23</v>
      </c>
      <c r="G24">
        <v>104884</v>
      </c>
      <c r="H24">
        <v>111743</v>
      </c>
      <c r="I24">
        <v>12</v>
      </c>
      <c r="J24">
        <v>24.13</v>
      </c>
      <c r="K24">
        <v>10573.4</v>
      </c>
      <c r="L24" t="s">
        <v>36</v>
      </c>
      <c r="M24" t="s">
        <v>25</v>
      </c>
      <c r="N24" s="12">
        <v>44656</v>
      </c>
      <c r="Q24">
        <v>733</v>
      </c>
      <c r="R24" t="s">
        <v>46</v>
      </c>
      <c r="S24">
        <v>0</v>
      </c>
      <c r="T24" s="10" t="s">
        <v>1274</v>
      </c>
      <c r="U24" s="23">
        <f>COUNTIF(Table1[Loan_Status],"Defaulted")/COUNTA(Table1[Loan_ID])</f>
        <v>0.248</v>
      </c>
    </row>
    <row r="25" spans="1:21" x14ac:dyDescent="0.3">
      <c r="A25" t="s">
        <v>99</v>
      </c>
      <c r="B25" t="s">
        <v>100</v>
      </c>
      <c r="C25">
        <v>21</v>
      </c>
      <c r="D25" t="s">
        <v>21</v>
      </c>
      <c r="E25" t="s">
        <v>22</v>
      </c>
      <c r="F25" t="s">
        <v>35</v>
      </c>
      <c r="G25">
        <v>57357</v>
      </c>
      <c r="H25">
        <v>393618</v>
      </c>
      <c r="I25">
        <v>18</v>
      </c>
      <c r="J25">
        <v>25.24</v>
      </c>
      <c r="K25">
        <v>26494.29</v>
      </c>
      <c r="L25" t="s">
        <v>31</v>
      </c>
      <c r="M25" t="s">
        <v>25</v>
      </c>
      <c r="N25" s="12">
        <v>44676</v>
      </c>
      <c r="Q25">
        <v>377</v>
      </c>
      <c r="R25" t="s">
        <v>46</v>
      </c>
      <c r="S25">
        <v>0</v>
      </c>
      <c r="T25" s="10" t="s">
        <v>1274</v>
      </c>
      <c r="U25" s="23">
        <f>COUNTIF(Table1[Loan_Status],"Defaulted")/COUNTA(Table1[Loan_ID])</f>
        <v>0.248</v>
      </c>
    </row>
    <row r="26" spans="1:21" x14ac:dyDescent="0.3">
      <c r="A26" t="s">
        <v>101</v>
      </c>
      <c r="B26" t="s">
        <v>102</v>
      </c>
      <c r="C26">
        <v>55</v>
      </c>
      <c r="D26" t="s">
        <v>29</v>
      </c>
      <c r="E26" t="s">
        <v>42</v>
      </c>
      <c r="F26" t="s">
        <v>23</v>
      </c>
      <c r="G26">
        <v>127666</v>
      </c>
      <c r="H26">
        <v>71818</v>
      </c>
      <c r="I26">
        <v>3</v>
      </c>
      <c r="J26">
        <v>19.399999999999999</v>
      </c>
      <c r="K26">
        <v>24717.51</v>
      </c>
      <c r="L26" t="s">
        <v>43</v>
      </c>
      <c r="M26" t="s">
        <v>32</v>
      </c>
      <c r="N26" s="12">
        <v>44777</v>
      </c>
      <c r="Q26">
        <v>555</v>
      </c>
      <c r="R26" t="s">
        <v>26</v>
      </c>
      <c r="S26">
        <v>40710.28</v>
      </c>
      <c r="T26" s="10" t="s">
        <v>1275</v>
      </c>
      <c r="U26" s="23">
        <f>COUNTIF(Table1[Loan_Status],"Defaulted")/COUNTA(Table1[Loan_ID])</f>
        <v>0.248</v>
      </c>
    </row>
    <row r="27" spans="1:21" x14ac:dyDescent="0.3">
      <c r="A27" t="s">
        <v>103</v>
      </c>
      <c r="B27" t="s">
        <v>104</v>
      </c>
      <c r="C27">
        <v>47</v>
      </c>
      <c r="D27" t="s">
        <v>29</v>
      </c>
      <c r="E27" t="s">
        <v>22</v>
      </c>
      <c r="F27" t="s">
        <v>23</v>
      </c>
      <c r="G27">
        <v>61413</v>
      </c>
      <c r="H27">
        <v>467115</v>
      </c>
      <c r="I27">
        <v>18</v>
      </c>
      <c r="J27">
        <v>12.59</v>
      </c>
      <c r="K27">
        <v>28613.82</v>
      </c>
      <c r="L27" t="s">
        <v>36</v>
      </c>
      <c r="M27" t="s">
        <v>54</v>
      </c>
      <c r="N27" s="12">
        <v>45247</v>
      </c>
      <c r="O27" t="s">
        <v>106</v>
      </c>
      <c r="P27">
        <v>221</v>
      </c>
      <c r="Q27">
        <v>554</v>
      </c>
      <c r="R27" t="s">
        <v>26</v>
      </c>
      <c r="S27">
        <v>0</v>
      </c>
      <c r="T27" s="10" t="s">
        <v>1273</v>
      </c>
      <c r="U27" s="23">
        <f>COUNTIF(Table1[Loan_Status],"Defaulted")/COUNTA(Table1[Loan_ID])</f>
        <v>0.248</v>
      </c>
    </row>
    <row r="28" spans="1:21" x14ac:dyDescent="0.3">
      <c r="A28" t="s">
        <v>107</v>
      </c>
      <c r="B28" t="s">
        <v>108</v>
      </c>
      <c r="C28">
        <v>31</v>
      </c>
      <c r="D28" t="s">
        <v>29</v>
      </c>
      <c r="E28" t="s">
        <v>68</v>
      </c>
      <c r="F28" t="s">
        <v>23</v>
      </c>
      <c r="G28">
        <v>138388</v>
      </c>
      <c r="H28">
        <v>121619</v>
      </c>
      <c r="I28">
        <v>6</v>
      </c>
      <c r="J28">
        <v>31.6</v>
      </c>
      <c r="K28">
        <v>22178.49</v>
      </c>
      <c r="L28" t="s">
        <v>31</v>
      </c>
      <c r="M28" t="s">
        <v>32</v>
      </c>
      <c r="N28" s="12">
        <v>44874</v>
      </c>
      <c r="Q28">
        <v>533</v>
      </c>
      <c r="R28" t="s">
        <v>26</v>
      </c>
      <c r="S28">
        <v>31140.12</v>
      </c>
      <c r="T28" s="10" t="s">
        <v>1269</v>
      </c>
      <c r="U28" s="23">
        <f>COUNTIF(Table1[Loan_Status],"Defaulted")/COUNTA(Table1[Loan_ID])</f>
        <v>0.248</v>
      </c>
    </row>
    <row r="29" spans="1:21" x14ac:dyDescent="0.3">
      <c r="A29" t="s">
        <v>109</v>
      </c>
      <c r="B29" t="s">
        <v>110</v>
      </c>
      <c r="C29">
        <v>46</v>
      </c>
      <c r="D29" t="s">
        <v>21</v>
      </c>
      <c r="E29" t="s">
        <v>42</v>
      </c>
      <c r="F29" t="s">
        <v>23</v>
      </c>
      <c r="G29">
        <v>88170</v>
      </c>
      <c r="H29">
        <v>189101</v>
      </c>
      <c r="I29">
        <v>24</v>
      </c>
      <c r="J29">
        <v>21.59</v>
      </c>
      <c r="K29">
        <v>9771.9699999999993</v>
      </c>
      <c r="L29" t="s">
        <v>24</v>
      </c>
      <c r="M29" t="s">
        <v>32</v>
      </c>
      <c r="N29" s="12">
        <v>44590</v>
      </c>
      <c r="Q29">
        <v>418</v>
      </c>
      <c r="R29" t="s">
        <v>26</v>
      </c>
      <c r="S29">
        <v>135004.29</v>
      </c>
      <c r="T29" s="10" t="s">
        <v>1262</v>
      </c>
      <c r="U29" s="23">
        <f>COUNTIF(Table1[Loan_Status],"Defaulted")/COUNTA(Table1[Loan_ID])</f>
        <v>0.248</v>
      </c>
    </row>
    <row r="30" spans="1:21" x14ac:dyDescent="0.3">
      <c r="A30" t="s">
        <v>111</v>
      </c>
      <c r="B30" t="s">
        <v>112</v>
      </c>
      <c r="C30">
        <v>32</v>
      </c>
      <c r="D30" t="s">
        <v>21</v>
      </c>
      <c r="E30" t="s">
        <v>49</v>
      </c>
      <c r="F30" t="s">
        <v>23</v>
      </c>
      <c r="G30">
        <v>128918</v>
      </c>
      <c r="H30">
        <v>186239</v>
      </c>
      <c r="I30">
        <v>12</v>
      </c>
      <c r="J30">
        <v>22.47</v>
      </c>
      <c r="K30">
        <v>17473.080000000002</v>
      </c>
      <c r="L30" t="s">
        <v>24</v>
      </c>
      <c r="M30" t="s">
        <v>25</v>
      </c>
      <c r="N30" s="12">
        <v>44956</v>
      </c>
      <c r="Q30">
        <v>494</v>
      </c>
      <c r="R30" t="s">
        <v>46</v>
      </c>
      <c r="S30">
        <v>0</v>
      </c>
      <c r="T30" s="10" t="s">
        <v>1266</v>
      </c>
      <c r="U30" s="23">
        <f>COUNTIF(Table1[Loan_Status],"Defaulted")/COUNTA(Table1[Loan_ID])</f>
        <v>0.248</v>
      </c>
    </row>
    <row r="31" spans="1:21" x14ac:dyDescent="0.3">
      <c r="A31" t="s">
        <v>113</v>
      </c>
      <c r="B31" t="s">
        <v>114</v>
      </c>
      <c r="C31">
        <v>21</v>
      </c>
      <c r="D31" t="s">
        <v>29</v>
      </c>
      <c r="E31" t="s">
        <v>42</v>
      </c>
      <c r="F31" t="s">
        <v>35</v>
      </c>
      <c r="G31">
        <v>33343</v>
      </c>
      <c r="H31">
        <v>353251</v>
      </c>
      <c r="I31">
        <v>12</v>
      </c>
      <c r="J31">
        <v>26.96</v>
      </c>
      <c r="K31">
        <v>33911.35</v>
      </c>
      <c r="L31" t="s">
        <v>43</v>
      </c>
      <c r="M31" t="s">
        <v>32</v>
      </c>
      <c r="N31" s="12">
        <v>45081</v>
      </c>
      <c r="Q31">
        <v>616</v>
      </c>
      <c r="R31" t="s">
        <v>26</v>
      </c>
      <c r="S31">
        <v>200231.51</v>
      </c>
      <c r="T31" s="10" t="s">
        <v>1276</v>
      </c>
      <c r="U31" s="23">
        <f>COUNTIF(Table1[Loan_Status],"Defaulted")/COUNTA(Table1[Loan_ID])</f>
        <v>0.248</v>
      </c>
    </row>
    <row r="32" spans="1:21" x14ac:dyDescent="0.3">
      <c r="A32" t="s">
        <v>115</v>
      </c>
      <c r="B32" t="s">
        <v>116</v>
      </c>
      <c r="C32">
        <v>46</v>
      </c>
      <c r="D32" t="s">
        <v>21</v>
      </c>
      <c r="E32" t="s">
        <v>30</v>
      </c>
      <c r="F32" t="s">
        <v>23</v>
      </c>
      <c r="G32">
        <v>65289</v>
      </c>
      <c r="H32">
        <v>225434</v>
      </c>
      <c r="I32">
        <v>18</v>
      </c>
      <c r="J32">
        <v>28.26</v>
      </c>
      <c r="K32">
        <v>15510.32</v>
      </c>
      <c r="L32" t="s">
        <v>39</v>
      </c>
      <c r="M32" t="s">
        <v>32</v>
      </c>
      <c r="N32" s="12">
        <v>44977</v>
      </c>
      <c r="Q32">
        <v>300</v>
      </c>
      <c r="R32" t="s">
        <v>26</v>
      </c>
      <c r="S32">
        <v>70496.02</v>
      </c>
      <c r="T32" s="10" t="s">
        <v>1277</v>
      </c>
      <c r="U32" s="23">
        <f>COUNTIF(Table1[Loan_Status],"Defaulted")/COUNTA(Table1[Loan_ID])</f>
        <v>0.248</v>
      </c>
    </row>
    <row r="33" spans="1:21" x14ac:dyDescent="0.3">
      <c r="A33" t="s">
        <v>118</v>
      </c>
      <c r="B33" t="s">
        <v>119</v>
      </c>
      <c r="C33">
        <v>48</v>
      </c>
      <c r="D33" t="s">
        <v>21</v>
      </c>
      <c r="E33" t="s">
        <v>68</v>
      </c>
      <c r="F33" t="s">
        <v>35</v>
      </c>
      <c r="G33">
        <v>130909</v>
      </c>
      <c r="H33">
        <v>359223</v>
      </c>
      <c r="I33">
        <v>6</v>
      </c>
      <c r="J33">
        <v>24.27</v>
      </c>
      <c r="K33">
        <v>64179.28</v>
      </c>
      <c r="L33" t="s">
        <v>39</v>
      </c>
      <c r="M33" t="s">
        <v>25</v>
      </c>
      <c r="N33" s="12">
        <v>44852</v>
      </c>
      <c r="Q33">
        <v>827</v>
      </c>
      <c r="R33" t="s">
        <v>46</v>
      </c>
      <c r="S33">
        <v>0</v>
      </c>
      <c r="T33" s="10" t="s">
        <v>1267</v>
      </c>
      <c r="U33" s="23">
        <f>COUNTIF(Table1[Loan_Status],"Defaulted")/COUNTA(Table1[Loan_ID])</f>
        <v>0.248</v>
      </c>
    </row>
    <row r="34" spans="1:21" x14ac:dyDescent="0.3">
      <c r="A34" t="s">
        <v>120</v>
      </c>
      <c r="B34" t="s">
        <v>121</v>
      </c>
      <c r="C34">
        <v>26</v>
      </c>
      <c r="D34" t="s">
        <v>29</v>
      </c>
      <c r="E34" t="s">
        <v>42</v>
      </c>
      <c r="F34" t="s">
        <v>23</v>
      </c>
      <c r="G34">
        <v>67200</v>
      </c>
      <c r="H34">
        <v>82255</v>
      </c>
      <c r="I34">
        <v>3</v>
      </c>
      <c r="J34">
        <v>13.11</v>
      </c>
      <c r="K34">
        <v>28019.59</v>
      </c>
      <c r="L34" t="s">
        <v>31</v>
      </c>
      <c r="M34" t="s">
        <v>25</v>
      </c>
      <c r="N34" s="12">
        <v>45028</v>
      </c>
      <c r="Q34">
        <v>724</v>
      </c>
      <c r="R34" t="s">
        <v>46</v>
      </c>
      <c r="S34">
        <v>0</v>
      </c>
      <c r="T34" s="10" t="s">
        <v>1278</v>
      </c>
      <c r="U34" s="23">
        <f>COUNTIF(Table1[Loan_Status],"Defaulted")/COUNTA(Table1[Loan_ID])</f>
        <v>0.248</v>
      </c>
    </row>
    <row r="35" spans="1:21" x14ac:dyDescent="0.3">
      <c r="A35" t="s">
        <v>123</v>
      </c>
      <c r="B35" t="s">
        <v>124</v>
      </c>
      <c r="C35">
        <v>45</v>
      </c>
      <c r="D35" t="s">
        <v>21</v>
      </c>
      <c r="E35" t="s">
        <v>68</v>
      </c>
      <c r="F35" t="s">
        <v>23</v>
      </c>
      <c r="G35">
        <v>53684</v>
      </c>
      <c r="H35">
        <v>348963</v>
      </c>
      <c r="I35">
        <v>3</v>
      </c>
      <c r="J35">
        <v>33.42</v>
      </c>
      <c r="K35">
        <v>122859.4</v>
      </c>
      <c r="L35" t="s">
        <v>43</v>
      </c>
      <c r="M35" t="s">
        <v>54</v>
      </c>
      <c r="N35" s="12">
        <v>44786</v>
      </c>
      <c r="O35" t="s">
        <v>125</v>
      </c>
      <c r="P35">
        <v>180</v>
      </c>
      <c r="Q35">
        <v>830</v>
      </c>
      <c r="R35" t="s">
        <v>26</v>
      </c>
      <c r="S35">
        <v>0</v>
      </c>
      <c r="T35" s="10" t="s">
        <v>1275</v>
      </c>
      <c r="U35" s="23">
        <f>COUNTIF(Table1[Loan_Status],"Defaulted")/COUNTA(Table1[Loan_ID])</f>
        <v>0.248</v>
      </c>
    </row>
    <row r="36" spans="1:21" x14ac:dyDescent="0.3">
      <c r="A36" t="s">
        <v>126</v>
      </c>
      <c r="B36" t="s">
        <v>127</v>
      </c>
      <c r="C36">
        <v>24</v>
      </c>
      <c r="D36" t="s">
        <v>29</v>
      </c>
      <c r="E36" t="s">
        <v>49</v>
      </c>
      <c r="F36" t="s">
        <v>35</v>
      </c>
      <c r="G36">
        <v>49954</v>
      </c>
      <c r="H36">
        <v>425173</v>
      </c>
      <c r="I36">
        <v>18</v>
      </c>
      <c r="J36">
        <v>28.02</v>
      </c>
      <c r="K36">
        <v>29202.07</v>
      </c>
      <c r="L36" t="s">
        <v>24</v>
      </c>
      <c r="M36" t="s">
        <v>32</v>
      </c>
      <c r="N36" s="12">
        <v>45015</v>
      </c>
      <c r="Q36">
        <v>816</v>
      </c>
      <c r="R36" t="s">
        <v>26</v>
      </c>
      <c r="S36">
        <v>169524.35</v>
      </c>
      <c r="T36" s="10" t="s">
        <v>1271</v>
      </c>
      <c r="U36" s="23">
        <f>COUNTIF(Table1[Loan_Status],"Defaulted")/COUNTA(Table1[Loan_ID])</f>
        <v>0.248</v>
      </c>
    </row>
    <row r="37" spans="1:21" x14ac:dyDescent="0.3">
      <c r="A37" t="s">
        <v>128</v>
      </c>
      <c r="B37" t="s">
        <v>129</v>
      </c>
      <c r="C37">
        <v>49</v>
      </c>
      <c r="D37" t="s">
        <v>29</v>
      </c>
      <c r="E37" t="s">
        <v>68</v>
      </c>
      <c r="F37" t="s">
        <v>35</v>
      </c>
      <c r="G37">
        <v>82945</v>
      </c>
      <c r="H37">
        <v>399147</v>
      </c>
      <c r="I37">
        <v>6</v>
      </c>
      <c r="J37">
        <v>32.159999999999997</v>
      </c>
      <c r="K37">
        <v>72901.960000000006</v>
      </c>
      <c r="L37" t="s">
        <v>36</v>
      </c>
      <c r="M37" t="s">
        <v>54</v>
      </c>
      <c r="N37" s="12">
        <v>45203</v>
      </c>
      <c r="O37" t="s">
        <v>130</v>
      </c>
      <c r="P37">
        <v>122</v>
      </c>
      <c r="Q37">
        <v>581</v>
      </c>
      <c r="R37" t="s">
        <v>26</v>
      </c>
      <c r="S37">
        <v>0</v>
      </c>
      <c r="T37" s="10" t="s">
        <v>1279</v>
      </c>
      <c r="U37" s="23">
        <f>COUNTIF(Table1[Loan_Status],"Defaulted")/COUNTA(Table1[Loan_ID])</f>
        <v>0.248</v>
      </c>
    </row>
    <row r="38" spans="1:21" x14ac:dyDescent="0.3">
      <c r="A38" t="s">
        <v>131</v>
      </c>
      <c r="B38" t="s">
        <v>132</v>
      </c>
      <c r="C38">
        <v>25</v>
      </c>
      <c r="D38" t="s">
        <v>21</v>
      </c>
      <c r="E38" t="s">
        <v>22</v>
      </c>
      <c r="F38" t="s">
        <v>35</v>
      </c>
      <c r="G38">
        <v>103040</v>
      </c>
      <c r="H38">
        <v>172619</v>
      </c>
      <c r="I38">
        <v>24</v>
      </c>
      <c r="J38">
        <v>13.93</v>
      </c>
      <c r="K38">
        <v>8282.23</v>
      </c>
      <c r="L38" t="s">
        <v>39</v>
      </c>
      <c r="M38" t="s">
        <v>44</v>
      </c>
      <c r="N38" s="12">
        <v>44954</v>
      </c>
      <c r="O38" t="s">
        <v>133</v>
      </c>
      <c r="P38">
        <v>156</v>
      </c>
      <c r="Q38">
        <v>519</v>
      </c>
      <c r="R38" t="s">
        <v>26</v>
      </c>
      <c r="S38">
        <v>0</v>
      </c>
      <c r="T38" s="10" t="s">
        <v>1266</v>
      </c>
      <c r="U38" s="23">
        <f>COUNTIF(Table1[Loan_Status],"Defaulted")/COUNTA(Table1[Loan_ID])</f>
        <v>0.248</v>
      </c>
    </row>
    <row r="39" spans="1:21" x14ac:dyDescent="0.3">
      <c r="A39" t="s">
        <v>134</v>
      </c>
      <c r="B39" t="s">
        <v>135</v>
      </c>
      <c r="C39">
        <v>42</v>
      </c>
      <c r="D39" t="s">
        <v>21</v>
      </c>
      <c r="E39" t="s">
        <v>68</v>
      </c>
      <c r="F39" t="s">
        <v>23</v>
      </c>
      <c r="G39">
        <v>69220</v>
      </c>
      <c r="H39">
        <v>441674</v>
      </c>
      <c r="I39">
        <v>18</v>
      </c>
      <c r="J39">
        <v>21.35</v>
      </c>
      <c r="K39">
        <v>28891.66</v>
      </c>
      <c r="L39" t="s">
        <v>24</v>
      </c>
      <c r="M39" t="s">
        <v>25</v>
      </c>
      <c r="N39" s="12">
        <v>45151</v>
      </c>
      <c r="Q39">
        <v>689</v>
      </c>
      <c r="R39" t="s">
        <v>46</v>
      </c>
      <c r="S39">
        <v>0</v>
      </c>
      <c r="T39" s="10" t="s">
        <v>1261</v>
      </c>
      <c r="U39" s="23">
        <f>COUNTIF(Table1[Loan_Status],"Defaulted")/COUNTA(Table1[Loan_ID])</f>
        <v>0.248</v>
      </c>
    </row>
    <row r="40" spans="1:21" x14ac:dyDescent="0.3">
      <c r="A40" t="s">
        <v>136</v>
      </c>
      <c r="B40" t="s">
        <v>137</v>
      </c>
      <c r="C40">
        <v>40</v>
      </c>
      <c r="D40" t="s">
        <v>21</v>
      </c>
      <c r="E40" t="s">
        <v>68</v>
      </c>
      <c r="F40" t="s">
        <v>23</v>
      </c>
      <c r="G40">
        <v>142986</v>
      </c>
      <c r="H40">
        <v>120040</v>
      </c>
      <c r="I40">
        <v>12</v>
      </c>
      <c r="J40">
        <v>22.46</v>
      </c>
      <c r="K40">
        <v>11261.66</v>
      </c>
      <c r="L40" t="s">
        <v>43</v>
      </c>
      <c r="M40" t="s">
        <v>54</v>
      </c>
      <c r="N40" s="12">
        <v>44906</v>
      </c>
      <c r="O40" t="s">
        <v>139</v>
      </c>
      <c r="P40">
        <v>414</v>
      </c>
      <c r="Q40">
        <v>469</v>
      </c>
      <c r="R40" t="s">
        <v>26</v>
      </c>
      <c r="S40">
        <v>0</v>
      </c>
      <c r="T40" s="10" t="s">
        <v>1280</v>
      </c>
      <c r="U40" s="23">
        <f>COUNTIF(Table1[Loan_Status],"Defaulted")/COUNTA(Table1[Loan_ID])</f>
        <v>0.248</v>
      </c>
    </row>
    <row r="41" spans="1:21" x14ac:dyDescent="0.3">
      <c r="A41" t="s">
        <v>140</v>
      </c>
      <c r="B41" t="s">
        <v>141</v>
      </c>
      <c r="C41">
        <v>29</v>
      </c>
      <c r="D41" t="s">
        <v>29</v>
      </c>
      <c r="E41" t="s">
        <v>68</v>
      </c>
      <c r="F41" t="s">
        <v>23</v>
      </c>
      <c r="G41">
        <v>37006</v>
      </c>
      <c r="H41">
        <v>341985</v>
      </c>
      <c r="I41">
        <v>18</v>
      </c>
      <c r="J41">
        <v>15.26</v>
      </c>
      <c r="K41">
        <v>21376.53</v>
      </c>
      <c r="L41" t="s">
        <v>31</v>
      </c>
      <c r="M41" t="s">
        <v>44</v>
      </c>
      <c r="N41" s="12">
        <v>44613</v>
      </c>
      <c r="O41" t="s">
        <v>142</v>
      </c>
      <c r="P41">
        <v>266</v>
      </c>
      <c r="Q41">
        <v>688</v>
      </c>
      <c r="R41" t="s">
        <v>46</v>
      </c>
      <c r="S41">
        <v>0</v>
      </c>
      <c r="T41" s="10" t="s">
        <v>1263</v>
      </c>
      <c r="U41" s="23">
        <f>COUNTIF(Table1[Loan_Status],"Defaulted")/COUNTA(Table1[Loan_ID])</f>
        <v>0.248</v>
      </c>
    </row>
    <row r="42" spans="1:21" x14ac:dyDescent="0.3">
      <c r="A42" t="s">
        <v>143</v>
      </c>
      <c r="B42" t="s">
        <v>144</v>
      </c>
      <c r="C42">
        <v>41</v>
      </c>
      <c r="D42" t="s">
        <v>21</v>
      </c>
      <c r="E42" t="s">
        <v>68</v>
      </c>
      <c r="F42" t="s">
        <v>35</v>
      </c>
      <c r="G42">
        <v>125510</v>
      </c>
      <c r="H42">
        <v>137262</v>
      </c>
      <c r="I42">
        <v>3</v>
      </c>
      <c r="J42">
        <v>23.29</v>
      </c>
      <c r="K42">
        <v>47541.4</v>
      </c>
      <c r="L42" t="s">
        <v>24</v>
      </c>
      <c r="M42" t="s">
        <v>25</v>
      </c>
      <c r="N42" s="12">
        <v>44920</v>
      </c>
      <c r="Q42">
        <v>529</v>
      </c>
      <c r="R42" t="s">
        <v>46</v>
      </c>
      <c r="S42">
        <v>0</v>
      </c>
      <c r="T42" s="10" t="s">
        <v>1280</v>
      </c>
      <c r="U42" s="23">
        <f>COUNTIF(Table1[Loan_Status],"Defaulted")/COUNTA(Table1[Loan_ID])</f>
        <v>0.248</v>
      </c>
    </row>
    <row r="43" spans="1:21" x14ac:dyDescent="0.3">
      <c r="A43" t="s">
        <v>145</v>
      </c>
      <c r="B43" t="s">
        <v>146</v>
      </c>
      <c r="C43">
        <v>22</v>
      </c>
      <c r="D43" t="s">
        <v>29</v>
      </c>
      <c r="E43" t="s">
        <v>22</v>
      </c>
      <c r="F43" t="s">
        <v>23</v>
      </c>
      <c r="G43">
        <v>54946</v>
      </c>
      <c r="H43">
        <v>130066</v>
      </c>
      <c r="I43">
        <v>6</v>
      </c>
      <c r="J43">
        <v>23.37</v>
      </c>
      <c r="K43">
        <v>23179.01</v>
      </c>
      <c r="L43" t="s">
        <v>43</v>
      </c>
      <c r="M43" t="s">
        <v>44</v>
      </c>
      <c r="N43" s="12">
        <v>45038</v>
      </c>
      <c r="O43" t="s">
        <v>148</v>
      </c>
      <c r="P43">
        <v>358</v>
      </c>
      <c r="Q43">
        <v>562</v>
      </c>
      <c r="R43" t="s">
        <v>46</v>
      </c>
      <c r="S43">
        <v>0</v>
      </c>
      <c r="T43" s="10" t="s">
        <v>1278</v>
      </c>
      <c r="U43" s="23">
        <f>COUNTIF(Table1[Loan_Status],"Defaulted")/COUNTA(Table1[Loan_ID])</f>
        <v>0.248</v>
      </c>
    </row>
    <row r="44" spans="1:21" x14ac:dyDescent="0.3">
      <c r="A44" t="s">
        <v>149</v>
      </c>
      <c r="B44" t="s">
        <v>150</v>
      </c>
      <c r="C44">
        <v>28</v>
      </c>
      <c r="D44" t="s">
        <v>29</v>
      </c>
      <c r="E44" t="s">
        <v>42</v>
      </c>
      <c r="F44" t="s">
        <v>23</v>
      </c>
      <c r="G44">
        <v>21731</v>
      </c>
      <c r="H44">
        <v>492004</v>
      </c>
      <c r="I44">
        <v>12</v>
      </c>
      <c r="J44">
        <v>25.82</v>
      </c>
      <c r="K44">
        <v>46958.13</v>
      </c>
      <c r="L44" t="s">
        <v>31</v>
      </c>
      <c r="M44" t="s">
        <v>54</v>
      </c>
      <c r="N44" s="12">
        <v>44765</v>
      </c>
      <c r="O44" t="s">
        <v>151</v>
      </c>
      <c r="P44">
        <v>77</v>
      </c>
      <c r="Q44">
        <v>548</v>
      </c>
      <c r="R44" t="s">
        <v>26</v>
      </c>
      <c r="S44">
        <v>0</v>
      </c>
      <c r="T44" s="10" t="s">
        <v>1281</v>
      </c>
      <c r="U44" s="23">
        <f>COUNTIF(Table1[Loan_Status],"Defaulted")/COUNTA(Table1[Loan_ID])</f>
        <v>0.248</v>
      </c>
    </row>
    <row r="45" spans="1:21" x14ac:dyDescent="0.3">
      <c r="A45" t="s">
        <v>152</v>
      </c>
      <c r="B45" t="s">
        <v>153</v>
      </c>
      <c r="C45">
        <v>40</v>
      </c>
      <c r="D45" t="s">
        <v>29</v>
      </c>
      <c r="E45" t="s">
        <v>30</v>
      </c>
      <c r="F45" t="s">
        <v>23</v>
      </c>
      <c r="G45">
        <v>106017</v>
      </c>
      <c r="H45">
        <v>284311</v>
      </c>
      <c r="I45">
        <v>18</v>
      </c>
      <c r="J45">
        <v>27.88</v>
      </c>
      <c r="K45">
        <v>19507.509999999998</v>
      </c>
      <c r="L45" t="s">
        <v>43</v>
      </c>
      <c r="M45" t="s">
        <v>32</v>
      </c>
      <c r="N45" s="12">
        <v>44574</v>
      </c>
      <c r="Q45">
        <v>730</v>
      </c>
      <c r="R45" t="s">
        <v>26</v>
      </c>
      <c r="S45">
        <v>192089.51</v>
      </c>
      <c r="T45" s="10" t="s">
        <v>1262</v>
      </c>
      <c r="U45" s="23">
        <f>COUNTIF(Table1[Loan_Status],"Defaulted")/COUNTA(Table1[Loan_ID])</f>
        <v>0.248</v>
      </c>
    </row>
    <row r="46" spans="1:21" x14ac:dyDescent="0.3">
      <c r="A46" t="s">
        <v>154</v>
      </c>
      <c r="B46" t="s">
        <v>155</v>
      </c>
      <c r="C46">
        <v>48</v>
      </c>
      <c r="D46" t="s">
        <v>21</v>
      </c>
      <c r="E46" t="s">
        <v>68</v>
      </c>
      <c r="F46" t="s">
        <v>23</v>
      </c>
      <c r="G46">
        <v>129160</v>
      </c>
      <c r="H46">
        <v>97346</v>
      </c>
      <c r="I46">
        <v>24</v>
      </c>
      <c r="J46">
        <v>35.17</v>
      </c>
      <c r="K46">
        <v>5705.29</v>
      </c>
      <c r="L46" t="s">
        <v>36</v>
      </c>
      <c r="M46" t="s">
        <v>54</v>
      </c>
      <c r="N46" s="12">
        <v>45038</v>
      </c>
      <c r="O46" t="s">
        <v>156</v>
      </c>
      <c r="P46">
        <v>223</v>
      </c>
      <c r="Q46">
        <v>574</v>
      </c>
      <c r="R46" t="s">
        <v>26</v>
      </c>
      <c r="S46">
        <v>0</v>
      </c>
      <c r="T46" s="10" t="s">
        <v>1278</v>
      </c>
      <c r="U46" s="23">
        <f>COUNTIF(Table1[Loan_Status],"Defaulted")/COUNTA(Table1[Loan_ID])</f>
        <v>0.248</v>
      </c>
    </row>
    <row r="47" spans="1:21" x14ac:dyDescent="0.3">
      <c r="A47" t="s">
        <v>157</v>
      </c>
      <c r="B47" t="s">
        <v>158</v>
      </c>
      <c r="C47">
        <v>36</v>
      </c>
      <c r="D47" t="s">
        <v>29</v>
      </c>
      <c r="E47" t="s">
        <v>42</v>
      </c>
      <c r="F47" t="s">
        <v>35</v>
      </c>
      <c r="G47">
        <v>78927</v>
      </c>
      <c r="H47">
        <v>398465</v>
      </c>
      <c r="I47">
        <v>18</v>
      </c>
      <c r="J47">
        <v>25.68</v>
      </c>
      <c r="K47">
        <v>26906.73</v>
      </c>
      <c r="L47" t="s">
        <v>31</v>
      </c>
      <c r="M47" t="s">
        <v>32</v>
      </c>
      <c r="N47" s="12">
        <v>44591</v>
      </c>
      <c r="Q47">
        <v>806</v>
      </c>
      <c r="R47" t="s">
        <v>26</v>
      </c>
      <c r="S47">
        <v>277198.95</v>
      </c>
      <c r="T47" s="10" t="s">
        <v>1262</v>
      </c>
      <c r="U47" s="23">
        <f>COUNTIF(Table1[Loan_Status],"Defaulted")/COUNTA(Table1[Loan_ID])</f>
        <v>0.248</v>
      </c>
    </row>
    <row r="48" spans="1:21" x14ac:dyDescent="0.3">
      <c r="A48" t="s">
        <v>159</v>
      </c>
      <c r="B48" t="s">
        <v>160</v>
      </c>
      <c r="C48">
        <v>52</v>
      </c>
      <c r="D48" t="s">
        <v>29</v>
      </c>
      <c r="E48" t="s">
        <v>42</v>
      </c>
      <c r="F48" t="s">
        <v>35</v>
      </c>
      <c r="G48">
        <v>104217</v>
      </c>
      <c r="H48">
        <v>151621</v>
      </c>
      <c r="I48">
        <v>24</v>
      </c>
      <c r="J48">
        <v>28.83</v>
      </c>
      <c r="K48">
        <v>8386.51</v>
      </c>
      <c r="L48" t="s">
        <v>36</v>
      </c>
      <c r="M48" t="s">
        <v>25</v>
      </c>
      <c r="N48" s="12">
        <v>45091</v>
      </c>
      <c r="Q48">
        <v>495</v>
      </c>
      <c r="R48" t="s">
        <v>26</v>
      </c>
      <c r="S48">
        <v>0</v>
      </c>
      <c r="T48" s="10" t="s">
        <v>1276</v>
      </c>
      <c r="U48" s="23">
        <f>COUNTIF(Table1[Loan_Status],"Defaulted")/COUNTA(Table1[Loan_ID])</f>
        <v>0.248</v>
      </c>
    </row>
    <row r="49" spans="1:21" x14ac:dyDescent="0.3">
      <c r="A49" t="s">
        <v>161</v>
      </c>
      <c r="B49" t="s">
        <v>162</v>
      </c>
      <c r="C49">
        <v>52</v>
      </c>
      <c r="D49" t="s">
        <v>29</v>
      </c>
      <c r="E49" t="s">
        <v>68</v>
      </c>
      <c r="F49" t="s">
        <v>35</v>
      </c>
      <c r="G49">
        <v>132486</v>
      </c>
      <c r="H49">
        <v>420725</v>
      </c>
      <c r="I49">
        <v>3</v>
      </c>
      <c r="J49">
        <v>14.23</v>
      </c>
      <c r="K49">
        <v>143580.79999999999</v>
      </c>
      <c r="L49" t="s">
        <v>39</v>
      </c>
      <c r="M49" t="s">
        <v>54</v>
      </c>
      <c r="N49" s="12">
        <v>45270</v>
      </c>
      <c r="O49" t="s">
        <v>163</v>
      </c>
      <c r="P49">
        <v>62</v>
      </c>
      <c r="Q49">
        <v>613</v>
      </c>
      <c r="R49" t="s">
        <v>26</v>
      </c>
      <c r="S49">
        <v>0</v>
      </c>
      <c r="T49" s="10" t="s">
        <v>1282</v>
      </c>
      <c r="U49" s="23">
        <f>COUNTIF(Table1[Loan_Status],"Defaulted")/COUNTA(Table1[Loan_ID])</f>
        <v>0.248</v>
      </c>
    </row>
    <row r="50" spans="1:21" x14ac:dyDescent="0.3">
      <c r="A50" t="s">
        <v>164</v>
      </c>
      <c r="B50" t="s">
        <v>165</v>
      </c>
      <c r="C50">
        <v>51</v>
      </c>
      <c r="D50" t="s">
        <v>21</v>
      </c>
      <c r="E50" t="s">
        <v>68</v>
      </c>
      <c r="F50" t="s">
        <v>35</v>
      </c>
      <c r="G50">
        <v>107225</v>
      </c>
      <c r="H50">
        <v>373498</v>
      </c>
      <c r="I50">
        <v>18</v>
      </c>
      <c r="J50">
        <v>18.5</v>
      </c>
      <c r="K50">
        <v>23920.45</v>
      </c>
      <c r="L50" t="s">
        <v>36</v>
      </c>
      <c r="M50" t="s">
        <v>44</v>
      </c>
      <c r="N50" s="12">
        <v>44685</v>
      </c>
      <c r="O50" t="s">
        <v>166</v>
      </c>
      <c r="P50">
        <v>738</v>
      </c>
      <c r="Q50">
        <v>497</v>
      </c>
      <c r="R50" t="s">
        <v>46</v>
      </c>
      <c r="S50">
        <v>0</v>
      </c>
      <c r="T50" s="10" t="s">
        <v>1272</v>
      </c>
      <c r="U50" s="23">
        <f>COUNTIF(Table1[Loan_Status],"Defaulted")/COUNTA(Table1[Loan_ID])</f>
        <v>0.248</v>
      </c>
    </row>
    <row r="51" spans="1:21" x14ac:dyDescent="0.3">
      <c r="A51" t="s">
        <v>167</v>
      </c>
      <c r="B51" t="s">
        <v>168</v>
      </c>
      <c r="C51">
        <v>32</v>
      </c>
      <c r="D51" t="s">
        <v>29</v>
      </c>
      <c r="E51" t="s">
        <v>22</v>
      </c>
      <c r="F51" t="s">
        <v>35</v>
      </c>
      <c r="G51">
        <v>87482</v>
      </c>
      <c r="H51">
        <v>384891</v>
      </c>
      <c r="I51">
        <v>24</v>
      </c>
      <c r="J51">
        <v>35.44</v>
      </c>
      <c r="K51">
        <v>22612.720000000001</v>
      </c>
      <c r="L51" t="s">
        <v>24</v>
      </c>
      <c r="M51" t="s">
        <v>32</v>
      </c>
      <c r="N51" s="12">
        <v>44664</v>
      </c>
      <c r="Q51">
        <v>498</v>
      </c>
      <c r="R51" t="s">
        <v>26</v>
      </c>
      <c r="S51">
        <v>118304.92</v>
      </c>
      <c r="T51" s="10" t="s">
        <v>1274</v>
      </c>
      <c r="U51" s="23">
        <f>COUNTIF(Table1[Loan_Status],"Defaulted")/COUNTA(Table1[Loan_ID])</f>
        <v>0.248</v>
      </c>
    </row>
    <row r="52" spans="1:21" x14ac:dyDescent="0.3">
      <c r="A52" t="s">
        <v>169</v>
      </c>
      <c r="B52" t="s">
        <v>170</v>
      </c>
      <c r="C52">
        <v>32</v>
      </c>
      <c r="D52" t="s">
        <v>21</v>
      </c>
      <c r="E52" t="s">
        <v>49</v>
      </c>
      <c r="F52" t="s">
        <v>23</v>
      </c>
      <c r="G52">
        <v>86909</v>
      </c>
      <c r="H52">
        <v>28863</v>
      </c>
      <c r="I52">
        <v>3</v>
      </c>
      <c r="J52">
        <v>25.28</v>
      </c>
      <c r="K52">
        <v>10029.18</v>
      </c>
      <c r="L52" t="s">
        <v>39</v>
      </c>
      <c r="M52" t="s">
        <v>54</v>
      </c>
      <c r="N52" s="12">
        <v>44667</v>
      </c>
      <c r="O52" t="s">
        <v>171</v>
      </c>
      <c r="P52">
        <v>12</v>
      </c>
      <c r="Q52">
        <v>591</v>
      </c>
      <c r="R52" t="s">
        <v>26</v>
      </c>
      <c r="S52">
        <v>0</v>
      </c>
      <c r="T52" s="10" t="s">
        <v>1274</v>
      </c>
      <c r="U52" s="23">
        <f>COUNTIF(Table1[Loan_Status],"Defaulted")/COUNTA(Table1[Loan_ID])</f>
        <v>0.248</v>
      </c>
    </row>
    <row r="53" spans="1:21" x14ac:dyDescent="0.3">
      <c r="A53" t="s">
        <v>172</v>
      </c>
      <c r="B53" t="s">
        <v>173</v>
      </c>
      <c r="C53">
        <v>51</v>
      </c>
      <c r="D53" t="s">
        <v>21</v>
      </c>
      <c r="E53" t="s">
        <v>42</v>
      </c>
      <c r="F53" t="s">
        <v>23</v>
      </c>
      <c r="G53">
        <v>28468</v>
      </c>
      <c r="H53">
        <v>137371</v>
      </c>
      <c r="I53">
        <v>18</v>
      </c>
      <c r="J53">
        <v>14.74</v>
      </c>
      <c r="K53">
        <v>8553.06</v>
      </c>
      <c r="L53" t="s">
        <v>43</v>
      </c>
      <c r="M53" t="s">
        <v>54</v>
      </c>
      <c r="N53" s="12">
        <v>45065</v>
      </c>
      <c r="O53" t="s">
        <v>174</v>
      </c>
      <c r="P53">
        <v>37</v>
      </c>
      <c r="Q53">
        <v>354</v>
      </c>
      <c r="R53" t="s">
        <v>26</v>
      </c>
      <c r="S53">
        <v>0</v>
      </c>
      <c r="T53" s="10" t="s">
        <v>1283</v>
      </c>
      <c r="U53" s="23">
        <f>COUNTIF(Table1[Loan_Status],"Defaulted")/COUNTA(Table1[Loan_ID])</f>
        <v>0.248</v>
      </c>
    </row>
    <row r="54" spans="1:21" x14ac:dyDescent="0.3">
      <c r="A54" t="s">
        <v>175</v>
      </c>
      <c r="B54" t="s">
        <v>176</v>
      </c>
      <c r="C54">
        <v>30</v>
      </c>
      <c r="D54" t="s">
        <v>21</v>
      </c>
      <c r="E54" t="s">
        <v>49</v>
      </c>
      <c r="F54" t="s">
        <v>23</v>
      </c>
      <c r="G54">
        <v>46051</v>
      </c>
      <c r="H54">
        <v>297590</v>
      </c>
      <c r="I54">
        <v>18</v>
      </c>
      <c r="J54">
        <v>26.55</v>
      </c>
      <c r="K54">
        <v>20222.669999999998</v>
      </c>
      <c r="L54" t="s">
        <v>24</v>
      </c>
      <c r="M54" t="s">
        <v>44</v>
      </c>
      <c r="N54" s="12">
        <v>45097</v>
      </c>
      <c r="O54" t="s">
        <v>177</v>
      </c>
      <c r="P54">
        <v>194</v>
      </c>
      <c r="Q54">
        <v>761</v>
      </c>
      <c r="R54" t="s">
        <v>46</v>
      </c>
      <c r="S54">
        <v>0</v>
      </c>
      <c r="T54" s="10" t="s">
        <v>1276</v>
      </c>
      <c r="U54" s="23">
        <f>COUNTIF(Table1[Loan_Status],"Defaulted")/COUNTA(Table1[Loan_ID])</f>
        <v>0.248</v>
      </c>
    </row>
    <row r="55" spans="1:21" x14ac:dyDescent="0.3">
      <c r="A55" t="s">
        <v>178</v>
      </c>
      <c r="B55" t="s">
        <v>179</v>
      </c>
      <c r="C55">
        <v>48</v>
      </c>
      <c r="D55" t="s">
        <v>21</v>
      </c>
      <c r="E55" t="s">
        <v>30</v>
      </c>
      <c r="F55" t="s">
        <v>23</v>
      </c>
      <c r="G55">
        <v>41013</v>
      </c>
      <c r="H55">
        <v>404893</v>
      </c>
      <c r="I55">
        <v>6</v>
      </c>
      <c r="J55">
        <v>27.01</v>
      </c>
      <c r="K55">
        <v>72896.94</v>
      </c>
      <c r="L55" t="s">
        <v>36</v>
      </c>
      <c r="M55" t="s">
        <v>25</v>
      </c>
      <c r="N55" s="12">
        <v>44722</v>
      </c>
      <c r="Q55">
        <v>545</v>
      </c>
      <c r="R55" t="s">
        <v>46</v>
      </c>
      <c r="S55">
        <v>0</v>
      </c>
      <c r="T55" s="10" t="s">
        <v>1268</v>
      </c>
      <c r="U55" s="23">
        <f>COUNTIF(Table1[Loan_Status],"Defaulted")/COUNTA(Table1[Loan_ID])</f>
        <v>0.248</v>
      </c>
    </row>
    <row r="56" spans="1:21" x14ac:dyDescent="0.3">
      <c r="A56" t="s">
        <v>180</v>
      </c>
      <c r="B56" t="s">
        <v>181</v>
      </c>
      <c r="C56">
        <v>31</v>
      </c>
      <c r="D56" t="s">
        <v>29</v>
      </c>
      <c r="E56" t="s">
        <v>68</v>
      </c>
      <c r="F56" t="s">
        <v>35</v>
      </c>
      <c r="G56">
        <v>138184</v>
      </c>
      <c r="H56">
        <v>157703</v>
      </c>
      <c r="I56">
        <v>3</v>
      </c>
      <c r="J56">
        <v>17.559999999999999</v>
      </c>
      <c r="K56">
        <v>54113.599999999999</v>
      </c>
      <c r="L56" t="s">
        <v>36</v>
      </c>
      <c r="M56" t="s">
        <v>54</v>
      </c>
      <c r="N56" s="12">
        <v>44634</v>
      </c>
      <c r="O56" t="s">
        <v>182</v>
      </c>
      <c r="P56">
        <v>703</v>
      </c>
      <c r="Q56">
        <v>539</v>
      </c>
      <c r="R56" t="s">
        <v>26</v>
      </c>
      <c r="S56">
        <v>0</v>
      </c>
      <c r="T56" s="10" t="s">
        <v>1264</v>
      </c>
      <c r="U56" s="23">
        <f>COUNTIF(Table1[Loan_Status],"Defaulted")/COUNTA(Table1[Loan_ID])</f>
        <v>0.248</v>
      </c>
    </row>
    <row r="57" spans="1:21" x14ac:dyDescent="0.3">
      <c r="A57" t="s">
        <v>183</v>
      </c>
      <c r="B57" t="s">
        <v>184</v>
      </c>
      <c r="C57">
        <v>33</v>
      </c>
      <c r="D57" t="s">
        <v>21</v>
      </c>
      <c r="E57" t="s">
        <v>49</v>
      </c>
      <c r="F57" t="s">
        <v>23</v>
      </c>
      <c r="G57">
        <v>54056</v>
      </c>
      <c r="H57">
        <v>481269</v>
      </c>
      <c r="I57">
        <v>12</v>
      </c>
      <c r="J57">
        <v>31.84</v>
      </c>
      <c r="K57">
        <v>47354.19</v>
      </c>
      <c r="L57" t="s">
        <v>43</v>
      </c>
      <c r="M57" t="s">
        <v>25</v>
      </c>
      <c r="N57" s="12">
        <v>44731</v>
      </c>
      <c r="Q57">
        <v>614</v>
      </c>
      <c r="R57" t="s">
        <v>46</v>
      </c>
      <c r="S57">
        <v>0</v>
      </c>
      <c r="T57" s="10" t="s">
        <v>1268</v>
      </c>
      <c r="U57" s="23">
        <f>COUNTIF(Table1[Loan_Status],"Defaulted")/COUNTA(Table1[Loan_ID])</f>
        <v>0.248</v>
      </c>
    </row>
    <row r="58" spans="1:21" x14ac:dyDescent="0.3">
      <c r="A58" t="s">
        <v>185</v>
      </c>
      <c r="B58" t="s">
        <v>186</v>
      </c>
      <c r="C58">
        <v>49</v>
      </c>
      <c r="D58" t="s">
        <v>29</v>
      </c>
      <c r="E58" t="s">
        <v>68</v>
      </c>
      <c r="F58" t="s">
        <v>35</v>
      </c>
      <c r="G58">
        <v>120515</v>
      </c>
      <c r="H58">
        <v>499233</v>
      </c>
      <c r="I58">
        <v>12</v>
      </c>
      <c r="J58">
        <v>24.01</v>
      </c>
      <c r="K58">
        <v>47209.69</v>
      </c>
      <c r="L58" t="s">
        <v>31</v>
      </c>
      <c r="M58" t="s">
        <v>54</v>
      </c>
      <c r="N58" s="12">
        <v>44644</v>
      </c>
      <c r="O58" t="s">
        <v>187</v>
      </c>
      <c r="P58">
        <v>612</v>
      </c>
      <c r="Q58">
        <v>340</v>
      </c>
      <c r="R58" t="s">
        <v>26</v>
      </c>
      <c r="S58">
        <v>0</v>
      </c>
      <c r="T58" s="10" t="s">
        <v>1264</v>
      </c>
      <c r="U58" s="23">
        <f>COUNTIF(Table1[Loan_Status],"Defaulted")/COUNTA(Table1[Loan_ID])</f>
        <v>0.248</v>
      </c>
    </row>
    <row r="59" spans="1:21" x14ac:dyDescent="0.3">
      <c r="A59" t="s">
        <v>188</v>
      </c>
      <c r="B59" t="s">
        <v>189</v>
      </c>
      <c r="C59">
        <v>41</v>
      </c>
      <c r="D59" t="s">
        <v>21</v>
      </c>
      <c r="E59" t="s">
        <v>49</v>
      </c>
      <c r="F59" t="s">
        <v>23</v>
      </c>
      <c r="G59">
        <v>75011</v>
      </c>
      <c r="H59">
        <v>358526</v>
      </c>
      <c r="I59">
        <v>24</v>
      </c>
      <c r="J59">
        <v>26.09</v>
      </c>
      <c r="K59">
        <v>19331.71</v>
      </c>
      <c r="L59" t="s">
        <v>43</v>
      </c>
      <c r="M59" t="s">
        <v>32</v>
      </c>
      <c r="N59" s="12">
        <v>45152</v>
      </c>
      <c r="Q59">
        <v>341</v>
      </c>
      <c r="R59" t="s">
        <v>26</v>
      </c>
      <c r="S59">
        <v>227368.69</v>
      </c>
      <c r="T59" s="10" t="s">
        <v>1261</v>
      </c>
      <c r="U59" s="23">
        <f>COUNTIF(Table1[Loan_Status],"Defaulted")/COUNTA(Table1[Loan_ID])</f>
        <v>0.248</v>
      </c>
    </row>
    <row r="60" spans="1:21" x14ac:dyDescent="0.3">
      <c r="A60" t="s">
        <v>190</v>
      </c>
      <c r="B60" t="s">
        <v>191</v>
      </c>
      <c r="C60">
        <v>51</v>
      </c>
      <c r="D60" t="s">
        <v>21</v>
      </c>
      <c r="E60" t="s">
        <v>42</v>
      </c>
      <c r="F60" t="s">
        <v>23</v>
      </c>
      <c r="G60">
        <v>129264</v>
      </c>
      <c r="H60">
        <v>337810</v>
      </c>
      <c r="I60">
        <v>18</v>
      </c>
      <c r="J60">
        <v>35.26</v>
      </c>
      <c r="K60">
        <v>24433.85</v>
      </c>
      <c r="L60" t="s">
        <v>31</v>
      </c>
      <c r="M60" t="s">
        <v>32</v>
      </c>
      <c r="N60" s="12">
        <v>44980</v>
      </c>
      <c r="Q60">
        <v>641</v>
      </c>
      <c r="R60" t="s">
        <v>26</v>
      </c>
      <c r="S60">
        <v>109700.68</v>
      </c>
      <c r="T60" s="10" t="s">
        <v>1277</v>
      </c>
      <c r="U60" s="23">
        <f>COUNTIF(Table1[Loan_Status],"Defaulted")/COUNTA(Table1[Loan_ID])</f>
        <v>0.248</v>
      </c>
    </row>
    <row r="61" spans="1:21" x14ac:dyDescent="0.3">
      <c r="A61" t="s">
        <v>192</v>
      </c>
      <c r="B61" t="s">
        <v>193</v>
      </c>
      <c r="C61">
        <v>31</v>
      </c>
      <c r="D61" t="s">
        <v>21</v>
      </c>
      <c r="E61" t="s">
        <v>68</v>
      </c>
      <c r="F61" t="s">
        <v>35</v>
      </c>
      <c r="G61">
        <v>90554</v>
      </c>
      <c r="H61">
        <v>352384</v>
      </c>
      <c r="I61">
        <v>18</v>
      </c>
      <c r="J61">
        <v>31.53</v>
      </c>
      <c r="K61">
        <v>24821.32</v>
      </c>
      <c r="L61" t="s">
        <v>24</v>
      </c>
      <c r="M61" t="s">
        <v>25</v>
      </c>
      <c r="N61" s="12">
        <v>45027</v>
      </c>
      <c r="Q61">
        <v>390</v>
      </c>
      <c r="R61" t="s">
        <v>46</v>
      </c>
      <c r="S61">
        <v>0</v>
      </c>
      <c r="T61" s="10" t="s">
        <v>1278</v>
      </c>
      <c r="U61" s="23">
        <f>COUNTIF(Table1[Loan_Status],"Defaulted")/COUNTA(Table1[Loan_ID])</f>
        <v>0.248</v>
      </c>
    </row>
    <row r="62" spans="1:21" x14ac:dyDescent="0.3">
      <c r="A62" t="s">
        <v>194</v>
      </c>
      <c r="B62" t="s">
        <v>195</v>
      </c>
      <c r="C62">
        <v>28</v>
      </c>
      <c r="D62" t="s">
        <v>21</v>
      </c>
      <c r="E62" t="s">
        <v>30</v>
      </c>
      <c r="F62" t="s">
        <v>23</v>
      </c>
      <c r="G62">
        <v>136104</v>
      </c>
      <c r="H62">
        <v>221660</v>
      </c>
      <c r="I62">
        <v>3</v>
      </c>
      <c r="J62">
        <v>16.5</v>
      </c>
      <c r="K62">
        <v>75927.8</v>
      </c>
      <c r="L62" t="s">
        <v>36</v>
      </c>
      <c r="M62" t="s">
        <v>54</v>
      </c>
      <c r="N62" s="12">
        <v>45202</v>
      </c>
      <c r="O62" t="s">
        <v>196</v>
      </c>
      <c r="P62">
        <v>226</v>
      </c>
      <c r="Q62">
        <v>352</v>
      </c>
      <c r="R62" t="s">
        <v>26</v>
      </c>
      <c r="S62">
        <v>0</v>
      </c>
      <c r="T62" s="10" t="s">
        <v>1279</v>
      </c>
      <c r="U62" s="23">
        <f>COUNTIF(Table1[Loan_Status],"Defaulted")/COUNTA(Table1[Loan_ID])</f>
        <v>0.248</v>
      </c>
    </row>
    <row r="63" spans="1:21" x14ac:dyDescent="0.3">
      <c r="A63" t="s">
        <v>197</v>
      </c>
      <c r="B63" t="s">
        <v>198</v>
      </c>
      <c r="C63">
        <v>38</v>
      </c>
      <c r="D63" t="s">
        <v>29</v>
      </c>
      <c r="E63" t="s">
        <v>42</v>
      </c>
      <c r="F63" t="s">
        <v>35</v>
      </c>
      <c r="G63">
        <v>142064</v>
      </c>
      <c r="H63">
        <v>68662</v>
      </c>
      <c r="I63">
        <v>3</v>
      </c>
      <c r="J63">
        <v>35.36</v>
      </c>
      <c r="K63">
        <v>24249.22</v>
      </c>
      <c r="L63" t="s">
        <v>24</v>
      </c>
      <c r="M63" t="s">
        <v>44</v>
      </c>
      <c r="N63" s="12">
        <v>45288</v>
      </c>
      <c r="O63" t="s">
        <v>199</v>
      </c>
      <c r="P63">
        <v>40</v>
      </c>
      <c r="Q63">
        <v>618</v>
      </c>
      <c r="R63" t="s">
        <v>46</v>
      </c>
      <c r="S63">
        <v>0</v>
      </c>
      <c r="T63" s="10" t="s">
        <v>1282</v>
      </c>
      <c r="U63" s="23">
        <f>COUNTIF(Table1[Loan_Status],"Defaulted")/COUNTA(Table1[Loan_ID])</f>
        <v>0.248</v>
      </c>
    </row>
    <row r="64" spans="1:21" x14ac:dyDescent="0.3">
      <c r="A64" t="s">
        <v>200</v>
      </c>
      <c r="B64" t="s">
        <v>201</v>
      </c>
      <c r="C64">
        <v>26</v>
      </c>
      <c r="D64" t="s">
        <v>29</v>
      </c>
      <c r="E64" t="s">
        <v>49</v>
      </c>
      <c r="F64" t="s">
        <v>35</v>
      </c>
      <c r="G64">
        <v>45793</v>
      </c>
      <c r="H64">
        <v>344586</v>
      </c>
      <c r="I64">
        <v>6</v>
      </c>
      <c r="J64">
        <v>23.96</v>
      </c>
      <c r="K64">
        <v>61510.58</v>
      </c>
      <c r="L64" t="s">
        <v>36</v>
      </c>
      <c r="M64" t="s">
        <v>32</v>
      </c>
      <c r="N64" s="12">
        <v>44987</v>
      </c>
      <c r="Q64">
        <v>794</v>
      </c>
      <c r="R64" t="s">
        <v>26</v>
      </c>
      <c r="S64">
        <v>270903.59999999998</v>
      </c>
      <c r="T64" s="10" t="s">
        <v>1271</v>
      </c>
      <c r="U64" s="23">
        <f>COUNTIF(Table1[Loan_Status],"Defaulted")/COUNTA(Table1[Loan_ID])</f>
        <v>0.248</v>
      </c>
    </row>
    <row r="65" spans="1:21" x14ac:dyDescent="0.3">
      <c r="A65" t="s">
        <v>203</v>
      </c>
      <c r="B65" t="s">
        <v>204</v>
      </c>
      <c r="C65">
        <v>50</v>
      </c>
      <c r="D65" t="s">
        <v>29</v>
      </c>
      <c r="E65" t="s">
        <v>68</v>
      </c>
      <c r="F65" t="s">
        <v>23</v>
      </c>
      <c r="G65">
        <v>148232</v>
      </c>
      <c r="H65">
        <v>396272</v>
      </c>
      <c r="I65">
        <v>6</v>
      </c>
      <c r="J65">
        <v>32.74</v>
      </c>
      <c r="K65">
        <v>72493.52</v>
      </c>
      <c r="L65" t="s">
        <v>36</v>
      </c>
      <c r="M65" t="s">
        <v>54</v>
      </c>
      <c r="N65" s="12">
        <v>44910</v>
      </c>
      <c r="O65" t="s">
        <v>205</v>
      </c>
      <c r="P65">
        <v>519</v>
      </c>
      <c r="Q65">
        <v>573</v>
      </c>
      <c r="R65" t="s">
        <v>26</v>
      </c>
      <c r="S65">
        <v>0</v>
      </c>
      <c r="T65" s="10" t="s">
        <v>1280</v>
      </c>
      <c r="U65" s="23">
        <f>COUNTIF(Table1[Loan_Status],"Defaulted")/COUNTA(Table1[Loan_ID])</f>
        <v>0.248</v>
      </c>
    </row>
    <row r="66" spans="1:21" x14ac:dyDescent="0.3">
      <c r="A66" t="s">
        <v>206</v>
      </c>
      <c r="B66" t="s">
        <v>207</v>
      </c>
      <c r="C66">
        <v>39</v>
      </c>
      <c r="D66" t="s">
        <v>21</v>
      </c>
      <c r="E66" t="s">
        <v>30</v>
      </c>
      <c r="F66" t="s">
        <v>35</v>
      </c>
      <c r="G66">
        <v>53953</v>
      </c>
      <c r="H66">
        <v>239119</v>
      </c>
      <c r="I66">
        <v>24</v>
      </c>
      <c r="J66">
        <v>23.62</v>
      </c>
      <c r="K66">
        <v>12597.18</v>
      </c>
      <c r="L66" t="s">
        <v>36</v>
      </c>
      <c r="M66" t="s">
        <v>54</v>
      </c>
      <c r="N66" s="12">
        <v>45028</v>
      </c>
      <c r="O66" t="s">
        <v>208</v>
      </c>
      <c r="P66">
        <v>164</v>
      </c>
      <c r="Q66">
        <v>493</v>
      </c>
      <c r="R66" t="s">
        <v>26</v>
      </c>
      <c r="S66">
        <v>0</v>
      </c>
      <c r="T66" s="10" t="s">
        <v>1278</v>
      </c>
      <c r="U66" s="23">
        <f>COUNTIF(Table1[Loan_Status],"Defaulted")/COUNTA(Table1[Loan_ID])</f>
        <v>0.248</v>
      </c>
    </row>
    <row r="67" spans="1:21" x14ac:dyDescent="0.3">
      <c r="A67" t="s">
        <v>209</v>
      </c>
      <c r="B67" t="s">
        <v>210</v>
      </c>
      <c r="C67">
        <v>45</v>
      </c>
      <c r="D67" t="s">
        <v>29</v>
      </c>
      <c r="E67" t="s">
        <v>68</v>
      </c>
      <c r="F67" t="s">
        <v>23</v>
      </c>
      <c r="G67">
        <v>98408</v>
      </c>
      <c r="H67">
        <v>395439</v>
      </c>
      <c r="I67">
        <v>18</v>
      </c>
      <c r="J67">
        <v>28.93</v>
      </c>
      <c r="K67">
        <v>27338.91</v>
      </c>
      <c r="L67" t="s">
        <v>31</v>
      </c>
      <c r="M67" t="s">
        <v>54</v>
      </c>
      <c r="N67" s="12">
        <v>45241</v>
      </c>
      <c r="O67" t="s">
        <v>211</v>
      </c>
      <c r="P67">
        <v>202</v>
      </c>
      <c r="Q67">
        <v>455</v>
      </c>
      <c r="R67" t="s">
        <v>26</v>
      </c>
      <c r="S67">
        <v>0</v>
      </c>
      <c r="T67" s="10" t="s">
        <v>1273</v>
      </c>
      <c r="U67" s="23">
        <f>COUNTIF(Table1[Loan_Status],"Defaulted")/COUNTA(Table1[Loan_ID])</f>
        <v>0.248</v>
      </c>
    </row>
    <row r="68" spans="1:21" x14ac:dyDescent="0.3">
      <c r="A68" t="s">
        <v>212</v>
      </c>
      <c r="B68" t="s">
        <v>213</v>
      </c>
      <c r="C68">
        <v>23</v>
      </c>
      <c r="D68" t="s">
        <v>29</v>
      </c>
      <c r="E68" t="s">
        <v>30</v>
      </c>
      <c r="F68" t="s">
        <v>35</v>
      </c>
      <c r="G68">
        <v>41309</v>
      </c>
      <c r="H68">
        <v>463327</v>
      </c>
      <c r="I68">
        <v>18</v>
      </c>
      <c r="J68">
        <v>14.39</v>
      </c>
      <c r="K68">
        <v>28771.72</v>
      </c>
      <c r="L68" t="s">
        <v>31</v>
      </c>
      <c r="M68" t="s">
        <v>25</v>
      </c>
      <c r="N68" s="12">
        <v>44709</v>
      </c>
      <c r="Q68">
        <v>719</v>
      </c>
      <c r="R68" t="s">
        <v>46</v>
      </c>
      <c r="S68">
        <v>0</v>
      </c>
      <c r="T68" s="10" t="s">
        <v>1272</v>
      </c>
      <c r="U68" s="23">
        <f>COUNTIF(Table1[Loan_Status],"Defaulted")/COUNTA(Table1[Loan_ID])</f>
        <v>0.248</v>
      </c>
    </row>
    <row r="69" spans="1:21" x14ac:dyDescent="0.3">
      <c r="A69" t="s">
        <v>215</v>
      </c>
      <c r="B69" t="s">
        <v>216</v>
      </c>
      <c r="C69">
        <v>25</v>
      </c>
      <c r="D69" t="s">
        <v>21</v>
      </c>
      <c r="E69" t="s">
        <v>42</v>
      </c>
      <c r="F69" t="s">
        <v>35</v>
      </c>
      <c r="G69">
        <v>119197</v>
      </c>
      <c r="H69">
        <v>345701</v>
      </c>
      <c r="I69">
        <v>3</v>
      </c>
      <c r="J69">
        <v>32.44</v>
      </c>
      <c r="K69">
        <v>121519.36</v>
      </c>
      <c r="L69" t="s">
        <v>24</v>
      </c>
      <c r="M69" t="s">
        <v>54</v>
      </c>
      <c r="N69" s="12">
        <v>44886</v>
      </c>
      <c r="O69" t="s">
        <v>217</v>
      </c>
      <c r="P69">
        <v>499</v>
      </c>
      <c r="Q69">
        <v>336</v>
      </c>
      <c r="R69" t="s">
        <v>26</v>
      </c>
      <c r="S69">
        <v>0</v>
      </c>
      <c r="T69" s="10" t="s">
        <v>1269</v>
      </c>
      <c r="U69" s="23">
        <f>COUNTIF(Table1[Loan_Status],"Defaulted")/COUNTA(Table1[Loan_ID])</f>
        <v>0.248</v>
      </c>
    </row>
    <row r="70" spans="1:21" x14ac:dyDescent="0.3">
      <c r="A70" t="s">
        <v>218</v>
      </c>
      <c r="B70" t="s">
        <v>219</v>
      </c>
      <c r="C70">
        <v>36</v>
      </c>
      <c r="D70" t="s">
        <v>21</v>
      </c>
      <c r="E70" t="s">
        <v>22</v>
      </c>
      <c r="F70" t="s">
        <v>23</v>
      </c>
      <c r="G70">
        <v>128763</v>
      </c>
      <c r="H70">
        <v>56612</v>
      </c>
      <c r="I70">
        <v>3</v>
      </c>
      <c r="J70">
        <v>22.65</v>
      </c>
      <c r="K70">
        <v>19587.47</v>
      </c>
      <c r="L70" t="s">
        <v>36</v>
      </c>
      <c r="M70" t="s">
        <v>25</v>
      </c>
      <c r="N70" s="12">
        <v>44609</v>
      </c>
      <c r="Q70">
        <v>632</v>
      </c>
      <c r="R70" t="s">
        <v>46</v>
      </c>
      <c r="S70">
        <v>0</v>
      </c>
      <c r="T70" s="10" t="s">
        <v>1263</v>
      </c>
      <c r="U70" s="23">
        <f>COUNTIF(Table1[Loan_Status],"Defaulted")/COUNTA(Table1[Loan_ID])</f>
        <v>0.248</v>
      </c>
    </row>
    <row r="71" spans="1:21" x14ac:dyDescent="0.3">
      <c r="A71" t="s">
        <v>220</v>
      </c>
      <c r="B71" t="s">
        <v>221</v>
      </c>
      <c r="C71">
        <v>43</v>
      </c>
      <c r="D71" t="s">
        <v>21</v>
      </c>
      <c r="E71" t="s">
        <v>68</v>
      </c>
      <c r="F71" t="s">
        <v>23</v>
      </c>
      <c r="G71">
        <v>79014</v>
      </c>
      <c r="H71">
        <v>283484</v>
      </c>
      <c r="I71">
        <v>18</v>
      </c>
      <c r="J71">
        <v>25.58</v>
      </c>
      <c r="K71">
        <v>19128.580000000002</v>
      </c>
      <c r="L71" t="s">
        <v>39</v>
      </c>
      <c r="M71" t="s">
        <v>44</v>
      </c>
      <c r="N71" s="12">
        <v>44741</v>
      </c>
      <c r="O71" t="s">
        <v>223</v>
      </c>
      <c r="P71">
        <v>80</v>
      </c>
      <c r="Q71">
        <v>691</v>
      </c>
      <c r="R71" t="s">
        <v>46</v>
      </c>
      <c r="S71">
        <v>0</v>
      </c>
      <c r="T71" s="10" t="s">
        <v>1268</v>
      </c>
      <c r="U71" s="23">
        <f>COUNTIF(Table1[Loan_Status],"Defaulted")/COUNTA(Table1[Loan_ID])</f>
        <v>0.248</v>
      </c>
    </row>
    <row r="72" spans="1:21" x14ac:dyDescent="0.3">
      <c r="A72" t="s">
        <v>224</v>
      </c>
      <c r="B72" t="s">
        <v>225</v>
      </c>
      <c r="C72">
        <v>52</v>
      </c>
      <c r="D72" t="s">
        <v>29</v>
      </c>
      <c r="E72" t="s">
        <v>22</v>
      </c>
      <c r="F72" t="s">
        <v>35</v>
      </c>
      <c r="G72">
        <v>81578</v>
      </c>
      <c r="H72">
        <v>245947</v>
      </c>
      <c r="I72">
        <v>12</v>
      </c>
      <c r="J72">
        <v>28</v>
      </c>
      <c r="K72">
        <v>23735.360000000001</v>
      </c>
      <c r="L72" t="s">
        <v>31</v>
      </c>
      <c r="M72" t="s">
        <v>32</v>
      </c>
      <c r="N72" s="12">
        <v>45255</v>
      </c>
      <c r="Q72">
        <v>461</v>
      </c>
      <c r="R72" t="s">
        <v>26</v>
      </c>
      <c r="S72">
        <v>37310.980000000003</v>
      </c>
      <c r="T72" s="10" t="s">
        <v>1273</v>
      </c>
      <c r="U72" s="23">
        <f>COUNTIF(Table1[Loan_Status],"Defaulted")/COUNTA(Table1[Loan_ID])</f>
        <v>0.248</v>
      </c>
    </row>
    <row r="73" spans="1:21" x14ac:dyDescent="0.3">
      <c r="A73" t="s">
        <v>227</v>
      </c>
      <c r="B73" t="s">
        <v>228</v>
      </c>
      <c r="C73">
        <v>40</v>
      </c>
      <c r="D73" t="s">
        <v>21</v>
      </c>
      <c r="E73" t="s">
        <v>42</v>
      </c>
      <c r="F73" t="s">
        <v>35</v>
      </c>
      <c r="G73">
        <v>94199</v>
      </c>
      <c r="H73">
        <v>109447</v>
      </c>
      <c r="I73">
        <v>18</v>
      </c>
      <c r="J73">
        <v>32.479999999999997</v>
      </c>
      <c r="K73">
        <v>7761.71</v>
      </c>
      <c r="L73" t="s">
        <v>43</v>
      </c>
      <c r="M73" t="s">
        <v>44</v>
      </c>
      <c r="N73" s="12">
        <v>44952</v>
      </c>
      <c r="O73" t="s">
        <v>229</v>
      </c>
      <c r="P73">
        <v>367</v>
      </c>
      <c r="Q73">
        <v>602</v>
      </c>
      <c r="R73" t="s">
        <v>46</v>
      </c>
      <c r="S73">
        <v>0</v>
      </c>
      <c r="T73" s="10" t="s">
        <v>1266</v>
      </c>
      <c r="U73" s="23">
        <f>COUNTIF(Table1[Loan_Status],"Defaulted")/COUNTA(Table1[Loan_ID])</f>
        <v>0.248</v>
      </c>
    </row>
    <row r="74" spans="1:21" x14ac:dyDescent="0.3">
      <c r="A74" t="s">
        <v>230</v>
      </c>
      <c r="B74" t="s">
        <v>231</v>
      </c>
      <c r="C74">
        <v>22</v>
      </c>
      <c r="D74" t="s">
        <v>21</v>
      </c>
      <c r="E74" t="s">
        <v>42</v>
      </c>
      <c r="F74" t="s">
        <v>23</v>
      </c>
      <c r="G74">
        <v>27856</v>
      </c>
      <c r="H74">
        <v>482425</v>
      </c>
      <c r="I74">
        <v>24</v>
      </c>
      <c r="J74">
        <v>29.88</v>
      </c>
      <c r="K74">
        <v>26943.95</v>
      </c>
      <c r="L74" t="s">
        <v>36</v>
      </c>
      <c r="M74" t="s">
        <v>44</v>
      </c>
      <c r="N74" s="12">
        <v>45183</v>
      </c>
      <c r="O74" t="s">
        <v>56</v>
      </c>
      <c r="P74">
        <v>180</v>
      </c>
      <c r="Q74">
        <v>524</v>
      </c>
      <c r="R74" t="s">
        <v>46</v>
      </c>
      <c r="S74">
        <v>0</v>
      </c>
      <c r="T74" s="10" t="s">
        <v>1284</v>
      </c>
      <c r="U74" s="23">
        <f>COUNTIF(Table1[Loan_Status],"Defaulted")/COUNTA(Table1[Loan_ID])</f>
        <v>0.248</v>
      </c>
    </row>
    <row r="75" spans="1:21" x14ac:dyDescent="0.3">
      <c r="A75" t="s">
        <v>233</v>
      </c>
      <c r="B75" t="s">
        <v>234</v>
      </c>
      <c r="C75">
        <v>29</v>
      </c>
      <c r="D75" t="s">
        <v>29</v>
      </c>
      <c r="E75" t="s">
        <v>49</v>
      </c>
      <c r="F75" t="s">
        <v>35</v>
      </c>
      <c r="G75">
        <v>130559</v>
      </c>
      <c r="H75">
        <v>22492</v>
      </c>
      <c r="I75">
        <v>24</v>
      </c>
      <c r="J75">
        <v>20.76</v>
      </c>
      <c r="K75">
        <v>1153.1199999999999</v>
      </c>
      <c r="L75" t="s">
        <v>39</v>
      </c>
      <c r="M75" t="s">
        <v>25</v>
      </c>
      <c r="N75" s="12">
        <v>44864</v>
      </c>
      <c r="Q75">
        <v>634</v>
      </c>
      <c r="R75" t="s">
        <v>46</v>
      </c>
      <c r="S75">
        <v>0</v>
      </c>
      <c r="T75" s="10" t="s">
        <v>1267</v>
      </c>
      <c r="U75" s="23">
        <f>COUNTIF(Table1[Loan_Status],"Defaulted")/COUNTA(Table1[Loan_ID])</f>
        <v>0.248</v>
      </c>
    </row>
    <row r="76" spans="1:21" x14ac:dyDescent="0.3">
      <c r="A76" t="s">
        <v>235</v>
      </c>
      <c r="B76" t="s">
        <v>236</v>
      </c>
      <c r="C76">
        <v>33</v>
      </c>
      <c r="D76" t="s">
        <v>29</v>
      </c>
      <c r="E76" t="s">
        <v>30</v>
      </c>
      <c r="F76" t="s">
        <v>35</v>
      </c>
      <c r="G76">
        <v>146542</v>
      </c>
      <c r="H76">
        <v>483930</v>
      </c>
      <c r="I76">
        <v>12</v>
      </c>
      <c r="J76">
        <v>31.93</v>
      </c>
      <c r="K76">
        <v>47637.55</v>
      </c>
      <c r="L76" t="s">
        <v>36</v>
      </c>
      <c r="M76" t="s">
        <v>54</v>
      </c>
      <c r="N76" s="12">
        <v>44864</v>
      </c>
      <c r="O76" t="s">
        <v>237</v>
      </c>
      <c r="P76">
        <v>346</v>
      </c>
      <c r="Q76">
        <v>417</v>
      </c>
      <c r="R76" t="s">
        <v>26</v>
      </c>
      <c r="S76">
        <v>0</v>
      </c>
      <c r="T76" s="10" t="s">
        <v>1267</v>
      </c>
      <c r="U76" s="23">
        <f>COUNTIF(Table1[Loan_Status],"Defaulted")/COUNTA(Table1[Loan_ID])</f>
        <v>0.248</v>
      </c>
    </row>
    <row r="77" spans="1:21" x14ac:dyDescent="0.3">
      <c r="A77" t="s">
        <v>238</v>
      </c>
      <c r="B77" t="s">
        <v>239</v>
      </c>
      <c r="C77">
        <v>25</v>
      </c>
      <c r="D77" t="s">
        <v>29</v>
      </c>
      <c r="E77" t="s">
        <v>22</v>
      </c>
      <c r="F77" t="s">
        <v>35</v>
      </c>
      <c r="G77">
        <v>110885</v>
      </c>
      <c r="H77">
        <v>52344</v>
      </c>
      <c r="I77">
        <v>18</v>
      </c>
      <c r="J77">
        <v>12.33</v>
      </c>
      <c r="K77">
        <v>3200.07</v>
      </c>
      <c r="L77" t="s">
        <v>24</v>
      </c>
      <c r="M77" t="s">
        <v>25</v>
      </c>
      <c r="N77" s="12">
        <v>45027</v>
      </c>
      <c r="Q77">
        <v>677</v>
      </c>
      <c r="R77" t="s">
        <v>46</v>
      </c>
      <c r="S77">
        <v>0</v>
      </c>
      <c r="T77" s="10" t="s">
        <v>1278</v>
      </c>
      <c r="U77" s="23">
        <f>COUNTIF(Table1[Loan_Status],"Defaulted")/COUNTA(Table1[Loan_ID])</f>
        <v>0.248</v>
      </c>
    </row>
    <row r="78" spans="1:21" x14ac:dyDescent="0.3">
      <c r="A78" t="s">
        <v>240</v>
      </c>
      <c r="B78" t="s">
        <v>241</v>
      </c>
      <c r="C78">
        <v>45</v>
      </c>
      <c r="D78" t="s">
        <v>21</v>
      </c>
      <c r="E78" t="s">
        <v>49</v>
      </c>
      <c r="F78" t="s">
        <v>23</v>
      </c>
      <c r="G78">
        <v>138594</v>
      </c>
      <c r="H78">
        <v>18120</v>
      </c>
      <c r="I78">
        <v>24</v>
      </c>
      <c r="J78">
        <v>33.22</v>
      </c>
      <c r="K78">
        <v>1043.42</v>
      </c>
      <c r="L78" t="s">
        <v>24</v>
      </c>
      <c r="M78" t="s">
        <v>32</v>
      </c>
      <c r="N78" s="12">
        <v>45186</v>
      </c>
      <c r="Q78">
        <v>526</v>
      </c>
      <c r="R78" t="s">
        <v>26</v>
      </c>
      <c r="S78">
        <v>10026.82</v>
      </c>
      <c r="T78" s="10" t="s">
        <v>1284</v>
      </c>
      <c r="U78" s="23">
        <f>COUNTIF(Table1[Loan_Status],"Defaulted")/COUNTA(Table1[Loan_ID])</f>
        <v>0.248</v>
      </c>
    </row>
    <row r="79" spans="1:21" x14ac:dyDescent="0.3">
      <c r="A79" t="s">
        <v>242</v>
      </c>
      <c r="B79" t="s">
        <v>243</v>
      </c>
      <c r="C79">
        <v>40</v>
      </c>
      <c r="D79" t="s">
        <v>21</v>
      </c>
      <c r="E79" t="s">
        <v>49</v>
      </c>
      <c r="F79" t="s">
        <v>23</v>
      </c>
      <c r="G79">
        <v>26887</v>
      </c>
      <c r="H79">
        <v>24509</v>
      </c>
      <c r="I79">
        <v>12</v>
      </c>
      <c r="J79">
        <v>35.9</v>
      </c>
      <c r="K79">
        <v>2461</v>
      </c>
      <c r="L79" t="s">
        <v>43</v>
      </c>
      <c r="M79" t="s">
        <v>25</v>
      </c>
      <c r="N79" s="12">
        <v>44802</v>
      </c>
      <c r="Q79">
        <v>850</v>
      </c>
      <c r="R79" t="s">
        <v>26</v>
      </c>
      <c r="S79">
        <v>0</v>
      </c>
      <c r="T79" s="10" t="s">
        <v>1275</v>
      </c>
      <c r="U79" s="23">
        <f>COUNTIF(Table1[Loan_Status],"Defaulted")/COUNTA(Table1[Loan_ID])</f>
        <v>0.248</v>
      </c>
    </row>
    <row r="80" spans="1:21" x14ac:dyDescent="0.3">
      <c r="A80" t="s">
        <v>244</v>
      </c>
      <c r="B80" t="s">
        <v>245</v>
      </c>
      <c r="C80">
        <v>44</v>
      </c>
      <c r="D80" t="s">
        <v>21</v>
      </c>
      <c r="E80" t="s">
        <v>30</v>
      </c>
      <c r="F80" t="s">
        <v>23</v>
      </c>
      <c r="G80">
        <v>123759</v>
      </c>
      <c r="H80">
        <v>348367</v>
      </c>
      <c r="I80">
        <v>3</v>
      </c>
      <c r="J80">
        <v>32.01</v>
      </c>
      <c r="K80">
        <v>122371.82</v>
      </c>
      <c r="L80" t="s">
        <v>24</v>
      </c>
      <c r="M80" t="s">
        <v>54</v>
      </c>
      <c r="N80" s="12">
        <v>44848</v>
      </c>
      <c r="O80" t="s">
        <v>69</v>
      </c>
      <c r="P80">
        <v>33</v>
      </c>
      <c r="Q80">
        <v>679</v>
      </c>
      <c r="R80" t="s">
        <v>26</v>
      </c>
      <c r="S80">
        <v>0</v>
      </c>
      <c r="T80" s="10" t="s">
        <v>1267</v>
      </c>
      <c r="U80" s="23">
        <f>COUNTIF(Table1[Loan_Status],"Defaulted")/COUNTA(Table1[Loan_ID])</f>
        <v>0.248</v>
      </c>
    </row>
    <row r="81" spans="1:21" x14ac:dyDescent="0.3">
      <c r="A81" t="s">
        <v>246</v>
      </c>
      <c r="B81" t="s">
        <v>247</v>
      </c>
      <c r="C81">
        <v>49</v>
      </c>
      <c r="D81" t="s">
        <v>21</v>
      </c>
      <c r="E81" t="s">
        <v>22</v>
      </c>
      <c r="F81" t="s">
        <v>35</v>
      </c>
      <c r="G81">
        <v>41045</v>
      </c>
      <c r="H81">
        <v>364493</v>
      </c>
      <c r="I81">
        <v>12</v>
      </c>
      <c r="J81">
        <v>25.07</v>
      </c>
      <c r="K81">
        <v>34655.33</v>
      </c>
      <c r="L81" t="s">
        <v>36</v>
      </c>
      <c r="M81" t="s">
        <v>25</v>
      </c>
      <c r="N81" s="12">
        <v>44969</v>
      </c>
      <c r="Q81">
        <v>582</v>
      </c>
      <c r="R81" t="s">
        <v>46</v>
      </c>
      <c r="S81">
        <v>0</v>
      </c>
      <c r="T81" s="10" t="s">
        <v>1277</v>
      </c>
      <c r="U81" s="23">
        <f>COUNTIF(Table1[Loan_Status],"Defaulted")/COUNTA(Table1[Loan_ID])</f>
        <v>0.248</v>
      </c>
    </row>
    <row r="82" spans="1:21" x14ac:dyDescent="0.3">
      <c r="A82" t="s">
        <v>248</v>
      </c>
      <c r="B82" t="s">
        <v>249</v>
      </c>
      <c r="C82">
        <v>50</v>
      </c>
      <c r="D82" t="s">
        <v>29</v>
      </c>
      <c r="E82" t="s">
        <v>22</v>
      </c>
      <c r="F82" t="s">
        <v>23</v>
      </c>
      <c r="G82">
        <v>28258</v>
      </c>
      <c r="H82">
        <v>417506</v>
      </c>
      <c r="I82">
        <v>12</v>
      </c>
      <c r="J82">
        <v>17.850000000000001</v>
      </c>
      <c r="K82">
        <v>38247.15</v>
      </c>
      <c r="L82" t="s">
        <v>39</v>
      </c>
      <c r="M82" t="s">
        <v>44</v>
      </c>
      <c r="N82" s="12">
        <v>44632</v>
      </c>
      <c r="O82" t="s">
        <v>250</v>
      </c>
      <c r="P82">
        <v>783</v>
      </c>
      <c r="Q82">
        <v>512</v>
      </c>
      <c r="R82" t="s">
        <v>46</v>
      </c>
      <c r="S82">
        <v>0</v>
      </c>
      <c r="T82" s="10" t="s">
        <v>1264</v>
      </c>
      <c r="U82" s="23">
        <f>COUNTIF(Table1[Loan_Status],"Defaulted")/COUNTA(Table1[Loan_ID])</f>
        <v>0.248</v>
      </c>
    </row>
    <row r="83" spans="1:21" x14ac:dyDescent="0.3">
      <c r="A83" t="s">
        <v>251</v>
      </c>
      <c r="B83" t="s">
        <v>252</v>
      </c>
      <c r="C83">
        <v>42</v>
      </c>
      <c r="D83" t="s">
        <v>29</v>
      </c>
      <c r="E83" t="s">
        <v>30</v>
      </c>
      <c r="F83" t="s">
        <v>23</v>
      </c>
      <c r="G83">
        <v>87685</v>
      </c>
      <c r="H83">
        <v>455052</v>
      </c>
      <c r="I83">
        <v>6</v>
      </c>
      <c r="J83">
        <v>35.700000000000003</v>
      </c>
      <c r="K83">
        <v>83931.87</v>
      </c>
      <c r="L83" t="s">
        <v>24</v>
      </c>
      <c r="M83" t="s">
        <v>32</v>
      </c>
      <c r="N83" s="12">
        <v>44740</v>
      </c>
      <c r="Q83">
        <v>412</v>
      </c>
      <c r="R83" t="s">
        <v>26</v>
      </c>
      <c r="S83">
        <v>256076.12</v>
      </c>
      <c r="T83" s="10" t="s">
        <v>1268</v>
      </c>
      <c r="U83" s="23">
        <f>COUNTIF(Table1[Loan_Status],"Defaulted")/COUNTA(Table1[Loan_ID])</f>
        <v>0.248</v>
      </c>
    </row>
    <row r="84" spans="1:21" x14ac:dyDescent="0.3">
      <c r="A84" t="s">
        <v>253</v>
      </c>
      <c r="B84" t="s">
        <v>254</v>
      </c>
      <c r="C84">
        <v>29</v>
      </c>
      <c r="D84" t="s">
        <v>29</v>
      </c>
      <c r="E84" t="s">
        <v>42</v>
      </c>
      <c r="F84" t="s">
        <v>23</v>
      </c>
      <c r="G84">
        <v>99874</v>
      </c>
      <c r="H84">
        <v>13273</v>
      </c>
      <c r="I84">
        <v>6</v>
      </c>
      <c r="J84">
        <v>18.37</v>
      </c>
      <c r="K84">
        <v>2332.19</v>
      </c>
      <c r="L84" t="s">
        <v>39</v>
      </c>
      <c r="M84" t="s">
        <v>54</v>
      </c>
      <c r="N84" s="12">
        <v>45100</v>
      </c>
      <c r="O84" t="s">
        <v>255</v>
      </c>
      <c r="P84">
        <v>58</v>
      </c>
      <c r="Q84">
        <v>365</v>
      </c>
      <c r="R84" t="s">
        <v>26</v>
      </c>
      <c r="S84">
        <v>0</v>
      </c>
      <c r="T84" s="10" t="s">
        <v>1276</v>
      </c>
      <c r="U84" s="23">
        <f>COUNTIF(Table1[Loan_Status],"Defaulted")/COUNTA(Table1[Loan_ID])</f>
        <v>0.248</v>
      </c>
    </row>
    <row r="85" spans="1:21" x14ac:dyDescent="0.3">
      <c r="A85" t="s">
        <v>256</v>
      </c>
      <c r="B85" t="s">
        <v>257</v>
      </c>
      <c r="C85">
        <v>49</v>
      </c>
      <c r="D85" t="s">
        <v>21</v>
      </c>
      <c r="E85" t="s">
        <v>30</v>
      </c>
      <c r="F85" t="s">
        <v>23</v>
      </c>
      <c r="G85">
        <v>133490</v>
      </c>
      <c r="H85">
        <v>269156</v>
      </c>
      <c r="I85">
        <v>6</v>
      </c>
      <c r="J85">
        <v>34.69</v>
      </c>
      <c r="K85">
        <v>49505.9</v>
      </c>
      <c r="L85" t="s">
        <v>43</v>
      </c>
      <c r="M85" t="s">
        <v>32</v>
      </c>
      <c r="N85" s="12">
        <v>45031</v>
      </c>
      <c r="Q85">
        <v>331</v>
      </c>
      <c r="R85" t="s">
        <v>26</v>
      </c>
      <c r="S85">
        <v>38375.67</v>
      </c>
      <c r="T85" s="10" t="s">
        <v>1278</v>
      </c>
      <c r="U85" s="23">
        <f>COUNTIF(Table1[Loan_Status],"Defaulted")/COUNTA(Table1[Loan_ID])</f>
        <v>0.248</v>
      </c>
    </row>
    <row r="86" spans="1:21" x14ac:dyDescent="0.3">
      <c r="A86" t="s">
        <v>258</v>
      </c>
      <c r="B86" t="s">
        <v>259</v>
      </c>
      <c r="C86">
        <v>46</v>
      </c>
      <c r="D86" t="s">
        <v>21</v>
      </c>
      <c r="E86" t="s">
        <v>49</v>
      </c>
      <c r="F86" t="s">
        <v>35</v>
      </c>
      <c r="G86">
        <v>131277</v>
      </c>
      <c r="H86">
        <v>43530</v>
      </c>
      <c r="I86">
        <v>3</v>
      </c>
      <c r="J86">
        <v>19.73</v>
      </c>
      <c r="K86">
        <v>14989.73</v>
      </c>
      <c r="L86" t="s">
        <v>39</v>
      </c>
      <c r="M86" t="s">
        <v>25</v>
      </c>
      <c r="N86" s="12">
        <v>44691</v>
      </c>
      <c r="Q86">
        <v>581</v>
      </c>
      <c r="R86" t="s">
        <v>46</v>
      </c>
      <c r="S86">
        <v>0</v>
      </c>
      <c r="T86" s="10" t="s">
        <v>1272</v>
      </c>
      <c r="U86" s="23">
        <f>COUNTIF(Table1[Loan_Status],"Defaulted")/COUNTA(Table1[Loan_ID])</f>
        <v>0.248</v>
      </c>
    </row>
    <row r="87" spans="1:21" x14ac:dyDescent="0.3">
      <c r="A87" t="s">
        <v>260</v>
      </c>
      <c r="B87" t="s">
        <v>261</v>
      </c>
      <c r="C87">
        <v>41</v>
      </c>
      <c r="D87" t="s">
        <v>21</v>
      </c>
      <c r="E87" t="s">
        <v>30</v>
      </c>
      <c r="F87" t="s">
        <v>35</v>
      </c>
      <c r="G87">
        <v>133938</v>
      </c>
      <c r="H87">
        <v>270054</v>
      </c>
      <c r="I87">
        <v>24</v>
      </c>
      <c r="J87">
        <v>22.32</v>
      </c>
      <c r="K87">
        <v>14052.62</v>
      </c>
      <c r="L87" t="s">
        <v>43</v>
      </c>
      <c r="M87" t="s">
        <v>44</v>
      </c>
      <c r="N87" s="12">
        <v>45002</v>
      </c>
      <c r="O87" t="s">
        <v>45</v>
      </c>
      <c r="P87">
        <v>231</v>
      </c>
      <c r="Q87">
        <v>533</v>
      </c>
      <c r="R87" t="s">
        <v>46</v>
      </c>
      <c r="S87">
        <v>0</v>
      </c>
      <c r="T87" s="10" t="s">
        <v>1271</v>
      </c>
      <c r="U87" s="23">
        <f>COUNTIF(Table1[Loan_Status],"Defaulted")/COUNTA(Table1[Loan_ID])</f>
        <v>0.248</v>
      </c>
    </row>
    <row r="88" spans="1:21" x14ac:dyDescent="0.3">
      <c r="A88" t="s">
        <v>262</v>
      </c>
      <c r="B88" t="s">
        <v>263</v>
      </c>
      <c r="C88">
        <v>46</v>
      </c>
      <c r="D88" t="s">
        <v>21</v>
      </c>
      <c r="E88" t="s">
        <v>49</v>
      </c>
      <c r="F88" t="s">
        <v>35</v>
      </c>
      <c r="G88">
        <v>126873</v>
      </c>
      <c r="H88">
        <v>168852</v>
      </c>
      <c r="I88">
        <v>12</v>
      </c>
      <c r="J88">
        <v>20.98</v>
      </c>
      <c r="K88">
        <v>15720.83</v>
      </c>
      <c r="L88" t="s">
        <v>39</v>
      </c>
      <c r="M88" t="s">
        <v>54</v>
      </c>
      <c r="N88" s="12">
        <v>44630</v>
      </c>
      <c r="O88" t="s">
        <v>264</v>
      </c>
      <c r="P88">
        <v>93</v>
      </c>
      <c r="Q88">
        <v>387</v>
      </c>
      <c r="R88" t="s">
        <v>26</v>
      </c>
      <c r="S88">
        <v>0</v>
      </c>
      <c r="T88" s="10" t="s">
        <v>1264</v>
      </c>
      <c r="U88" s="23">
        <f>COUNTIF(Table1[Loan_Status],"Defaulted")/COUNTA(Table1[Loan_ID])</f>
        <v>0.248</v>
      </c>
    </row>
    <row r="89" spans="1:21" x14ac:dyDescent="0.3">
      <c r="A89" t="s">
        <v>265</v>
      </c>
      <c r="B89" t="s">
        <v>266</v>
      </c>
      <c r="C89">
        <v>48</v>
      </c>
      <c r="D89" t="s">
        <v>29</v>
      </c>
      <c r="E89" t="s">
        <v>42</v>
      </c>
      <c r="F89" t="s">
        <v>23</v>
      </c>
      <c r="G89">
        <v>30723</v>
      </c>
      <c r="H89">
        <v>312476</v>
      </c>
      <c r="I89">
        <v>24</v>
      </c>
      <c r="J89">
        <v>25.48</v>
      </c>
      <c r="K89">
        <v>16752.669999999998</v>
      </c>
      <c r="L89" t="s">
        <v>43</v>
      </c>
      <c r="M89" t="s">
        <v>54</v>
      </c>
      <c r="N89" s="12">
        <v>44924</v>
      </c>
      <c r="O89" t="s">
        <v>267</v>
      </c>
      <c r="P89">
        <v>433</v>
      </c>
      <c r="Q89">
        <v>352</v>
      </c>
      <c r="R89" t="s">
        <v>26</v>
      </c>
      <c r="S89">
        <v>0</v>
      </c>
      <c r="T89" s="10" t="s">
        <v>1280</v>
      </c>
      <c r="U89" s="23">
        <f>COUNTIF(Table1[Loan_Status],"Defaulted")/COUNTA(Table1[Loan_ID])</f>
        <v>0.248</v>
      </c>
    </row>
    <row r="90" spans="1:21" x14ac:dyDescent="0.3">
      <c r="A90" t="s">
        <v>268</v>
      </c>
      <c r="B90" t="s">
        <v>269</v>
      </c>
      <c r="C90">
        <v>40</v>
      </c>
      <c r="D90" t="s">
        <v>21</v>
      </c>
      <c r="E90" t="s">
        <v>49</v>
      </c>
      <c r="F90" t="s">
        <v>23</v>
      </c>
      <c r="G90">
        <v>55561</v>
      </c>
      <c r="H90">
        <v>349318</v>
      </c>
      <c r="I90">
        <v>18</v>
      </c>
      <c r="J90">
        <v>17.38</v>
      </c>
      <c r="K90">
        <v>22185.4</v>
      </c>
      <c r="L90" t="s">
        <v>43</v>
      </c>
      <c r="M90" t="s">
        <v>32</v>
      </c>
      <c r="N90" s="12">
        <v>45131</v>
      </c>
      <c r="Q90">
        <v>676</v>
      </c>
      <c r="R90" t="s">
        <v>26</v>
      </c>
      <c r="S90">
        <v>63023.86</v>
      </c>
      <c r="T90" s="10" t="s">
        <v>1265</v>
      </c>
      <c r="U90" s="23">
        <f>COUNTIF(Table1[Loan_Status],"Defaulted")/COUNTA(Table1[Loan_ID])</f>
        <v>0.248</v>
      </c>
    </row>
    <row r="91" spans="1:21" x14ac:dyDescent="0.3">
      <c r="A91" t="s">
        <v>270</v>
      </c>
      <c r="B91" t="s">
        <v>271</v>
      </c>
      <c r="C91">
        <v>35</v>
      </c>
      <c r="D91" t="s">
        <v>21</v>
      </c>
      <c r="E91" t="s">
        <v>30</v>
      </c>
      <c r="F91" t="s">
        <v>23</v>
      </c>
      <c r="G91">
        <v>85109</v>
      </c>
      <c r="H91">
        <v>20179</v>
      </c>
      <c r="I91">
        <v>6</v>
      </c>
      <c r="J91">
        <v>18.559999999999999</v>
      </c>
      <c r="K91">
        <v>3547.55</v>
      </c>
      <c r="L91" t="s">
        <v>36</v>
      </c>
      <c r="M91" t="s">
        <v>32</v>
      </c>
      <c r="N91" s="12">
        <v>44921</v>
      </c>
      <c r="Q91">
        <v>306</v>
      </c>
      <c r="R91" t="s">
        <v>26</v>
      </c>
      <c r="S91">
        <v>4580.3100000000004</v>
      </c>
      <c r="T91" s="10" t="s">
        <v>1280</v>
      </c>
      <c r="U91" s="23">
        <f>COUNTIF(Table1[Loan_Status],"Defaulted")/COUNTA(Table1[Loan_ID])</f>
        <v>0.248</v>
      </c>
    </row>
    <row r="92" spans="1:21" x14ac:dyDescent="0.3">
      <c r="A92" t="s">
        <v>272</v>
      </c>
      <c r="B92" t="s">
        <v>273</v>
      </c>
      <c r="C92">
        <v>46</v>
      </c>
      <c r="D92" t="s">
        <v>29</v>
      </c>
      <c r="E92" t="s">
        <v>22</v>
      </c>
      <c r="F92" t="s">
        <v>23</v>
      </c>
      <c r="G92">
        <v>39053</v>
      </c>
      <c r="H92">
        <v>396177</v>
      </c>
      <c r="I92">
        <v>24</v>
      </c>
      <c r="J92">
        <v>17.16</v>
      </c>
      <c r="K92">
        <v>19618.36</v>
      </c>
      <c r="L92" t="s">
        <v>31</v>
      </c>
      <c r="M92" t="s">
        <v>54</v>
      </c>
      <c r="N92" s="12">
        <v>44911</v>
      </c>
      <c r="O92" t="s">
        <v>274</v>
      </c>
      <c r="P92">
        <v>161</v>
      </c>
      <c r="Q92">
        <v>678</v>
      </c>
      <c r="R92" t="s">
        <v>26</v>
      </c>
      <c r="S92">
        <v>0</v>
      </c>
      <c r="T92" s="10" t="s">
        <v>1280</v>
      </c>
      <c r="U92" s="23">
        <f>COUNTIF(Table1[Loan_Status],"Defaulted")/COUNTA(Table1[Loan_ID])</f>
        <v>0.248</v>
      </c>
    </row>
    <row r="93" spans="1:21" x14ac:dyDescent="0.3">
      <c r="A93" t="s">
        <v>275</v>
      </c>
      <c r="B93" t="s">
        <v>276</v>
      </c>
      <c r="C93">
        <v>41</v>
      </c>
      <c r="D93" t="s">
        <v>29</v>
      </c>
      <c r="E93" t="s">
        <v>49</v>
      </c>
      <c r="F93" t="s">
        <v>23</v>
      </c>
      <c r="G93">
        <v>56264</v>
      </c>
      <c r="H93">
        <v>400541</v>
      </c>
      <c r="I93">
        <v>24</v>
      </c>
      <c r="J93">
        <v>13.19</v>
      </c>
      <c r="K93">
        <v>19078.21</v>
      </c>
      <c r="L93" t="s">
        <v>43</v>
      </c>
      <c r="M93" t="s">
        <v>32</v>
      </c>
      <c r="N93" s="12">
        <v>45015</v>
      </c>
      <c r="Q93">
        <v>734</v>
      </c>
      <c r="R93" t="s">
        <v>26</v>
      </c>
      <c r="S93">
        <v>176223.3</v>
      </c>
      <c r="T93" s="10" t="s">
        <v>1271</v>
      </c>
      <c r="U93" s="23">
        <f>COUNTIF(Table1[Loan_Status],"Defaulted")/COUNTA(Table1[Loan_ID])</f>
        <v>0.248</v>
      </c>
    </row>
    <row r="94" spans="1:21" x14ac:dyDescent="0.3">
      <c r="A94" t="s">
        <v>277</v>
      </c>
      <c r="B94" t="s">
        <v>278</v>
      </c>
      <c r="C94">
        <v>47</v>
      </c>
      <c r="D94" t="s">
        <v>21</v>
      </c>
      <c r="E94" t="s">
        <v>22</v>
      </c>
      <c r="F94" t="s">
        <v>23</v>
      </c>
      <c r="G94">
        <v>105484</v>
      </c>
      <c r="H94">
        <v>230398</v>
      </c>
      <c r="I94">
        <v>3</v>
      </c>
      <c r="J94">
        <v>18.8</v>
      </c>
      <c r="K94">
        <v>79218.179999999993</v>
      </c>
      <c r="L94" t="s">
        <v>24</v>
      </c>
      <c r="M94" t="s">
        <v>54</v>
      </c>
      <c r="N94" s="12">
        <v>45101</v>
      </c>
      <c r="O94" t="s">
        <v>279</v>
      </c>
      <c r="P94">
        <v>341</v>
      </c>
      <c r="Q94">
        <v>615</v>
      </c>
      <c r="R94" t="s">
        <v>26</v>
      </c>
      <c r="S94">
        <v>0</v>
      </c>
      <c r="T94" s="10" t="s">
        <v>1276</v>
      </c>
      <c r="U94" s="23">
        <f>COUNTIF(Table1[Loan_Status],"Defaulted")/COUNTA(Table1[Loan_ID])</f>
        <v>0.248</v>
      </c>
    </row>
    <row r="95" spans="1:21" x14ac:dyDescent="0.3">
      <c r="A95" t="s">
        <v>280</v>
      </c>
      <c r="B95" t="s">
        <v>281</v>
      </c>
      <c r="C95">
        <v>35</v>
      </c>
      <c r="D95" t="s">
        <v>21</v>
      </c>
      <c r="E95" t="s">
        <v>30</v>
      </c>
      <c r="F95" t="s">
        <v>23</v>
      </c>
      <c r="G95">
        <v>17015</v>
      </c>
      <c r="H95">
        <v>112176</v>
      </c>
      <c r="I95">
        <v>12</v>
      </c>
      <c r="J95">
        <v>34.69</v>
      </c>
      <c r="K95">
        <v>11196.12</v>
      </c>
      <c r="L95" t="s">
        <v>39</v>
      </c>
      <c r="M95" t="s">
        <v>32</v>
      </c>
      <c r="N95" s="12">
        <v>44858</v>
      </c>
      <c r="Q95">
        <v>635</v>
      </c>
      <c r="R95" t="s">
        <v>26</v>
      </c>
      <c r="S95">
        <v>20639.150000000001</v>
      </c>
      <c r="T95" s="10" t="s">
        <v>1267</v>
      </c>
      <c r="U95" s="23">
        <f>COUNTIF(Table1[Loan_Status],"Defaulted")/COUNTA(Table1[Loan_ID])</f>
        <v>0.248</v>
      </c>
    </row>
    <row r="96" spans="1:21" x14ac:dyDescent="0.3">
      <c r="A96" t="s">
        <v>282</v>
      </c>
      <c r="B96" t="s">
        <v>283</v>
      </c>
      <c r="C96">
        <v>48</v>
      </c>
      <c r="D96" t="s">
        <v>29</v>
      </c>
      <c r="E96" t="s">
        <v>22</v>
      </c>
      <c r="F96" t="s">
        <v>35</v>
      </c>
      <c r="G96">
        <v>75322</v>
      </c>
      <c r="H96">
        <v>267281</v>
      </c>
      <c r="I96">
        <v>24</v>
      </c>
      <c r="J96">
        <v>32</v>
      </c>
      <c r="K96">
        <v>15220.98</v>
      </c>
      <c r="L96" t="s">
        <v>36</v>
      </c>
      <c r="M96" t="s">
        <v>25</v>
      </c>
      <c r="N96" s="12">
        <v>44968</v>
      </c>
      <c r="Q96">
        <v>343</v>
      </c>
      <c r="R96" t="s">
        <v>46</v>
      </c>
      <c r="S96">
        <v>0</v>
      </c>
      <c r="T96" s="10" t="s">
        <v>1277</v>
      </c>
      <c r="U96" s="23">
        <f>COUNTIF(Table1[Loan_Status],"Defaulted")/COUNTA(Table1[Loan_ID])</f>
        <v>0.248</v>
      </c>
    </row>
    <row r="97" spans="1:21" x14ac:dyDescent="0.3">
      <c r="A97" t="s">
        <v>284</v>
      </c>
      <c r="B97" t="s">
        <v>285</v>
      </c>
      <c r="C97">
        <v>25</v>
      </c>
      <c r="D97" t="s">
        <v>21</v>
      </c>
      <c r="E97" t="s">
        <v>30</v>
      </c>
      <c r="F97" t="s">
        <v>35</v>
      </c>
      <c r="G97">
        <v>121017</v>
      </c>
      <c r="H97">
        <v>376981</v>
      </c>
      <c r="I97">
        <v>18</v>
      </c>
      <c r="J97">
        <v>18.95</v>
      </c>
      <c r="K97">
        <v>24224.63</v>
      </c>
      <c r="L97" t="s">
        <v>31</v>
      </c>
      <c r="M97" t="s">
        <v>25</v>
      </c>
      <c r="N97" s="12">
        <v>44894</v>
      </c>
      <c r="Q97">
        <v>475</v>
      </c>
      <c r="R97" t="s">
        <v>46</v>
      </c>
      <c r="S97">
        <v>0</v>
      </c>
      <c r="T97" s="10" t="s">
        <v>1269</v>
      </c>
      <c r="U97" s="23">
        <f>COUNTIF(Table1[Loan_Status],"Defaulted")/COUNTA(Table1[Loan_ID])</f>
        <v>0.248</v>
      </c>
    </row>
    <row r="98" spans="1:21" x14ac:dyDescent="0.3">
      <c r="A98" t="s">
        <v>286</v>
      </c>
      <c r="B98" t="s">
        <v>287</v>
      </c>
      <c r="C98">
        <v>44</v>
      </c>
      <c r="D98" t="s">
        <v>29</v>
      </c>
      <c r="E98" t="s">
        <v>68</v>
      </c>
      <c r="F98" t="s">
        <v>23</v>
      </c>
      <c r="G98">
        <v>78783</v>
      </c>
      <c r="H98">
        <v>233419</v>
      </c>
      <c r="I98">
        <v>24</v>
      </c>
      <c r="J98">
        <v>21.61</v>
      </c>
      <c r="K98">
        <v>12064.44</v>
      </c>
      <c r="L98" t="s">
        <v>43</v>
      </c>
      <c r="M98" t="s">
        <v>54</v>
      </c>
      <c r="N98" s="12">
        <v>44879</v>
      </c>
      <c r="O98" t="s">
        <v>288</v>
      </c>
      <c r="P98">
        <v>347</v>
      </c>
      <c r="Q98">
        <v>526</v>
      </c>
      <c r="R98" t="s">
        <v>26</v>
      </c>
      <c r="S98">
        <v>0</v>
      </c>
      <c r="T98" s="10" t="s">
        <v>1269</v>
      </c>
      <c r="U98" s="23">
        <f>COUNTIF(Table1[Loan_Status],"Defaulted")/COUNTA(Table1[Loan_ID])</f>
        <v>0.248</v>
      </c>
    </row>
    <row r="99" spans="1:21" x14ac:dyDescent="0.3">
      <c r="A99" t="s">
        <v>289</v>
      </c>
      <c r="B99" t="s">
        <v>290</v>
      </c>
      <c r="C99">
        <v>31</v>
      </c>
      <c r="D99" t="s">
        <v>29</v>
      </c>
      <c r="E99" t="s">
        <v>30</v>
      </c>
      <c r="F99" t="s">
        <v>23</v>
      </c>
      <c r="G99">
        <v>148680</v>
      </c>
      <c r="H99">
        <v>106661</v>
      </c>
      <c r="I99">
        <v>12</v>
      </c>
      <c r="J99">
        <v>20.43</v>
      </c>
      <c r="K99">
        <v>9902.4500000000007</v>
      </c>
      <c r="L99" t="s">
        <v>39</v>
      </c>
      <c r="M99" t="s">
        <v>44</v>
      </c>
      <c r="N99" s="12">
        <v>44667</v>
      </c>
      <c r="O99" t="s">
        <v>291</v>
      </c>
      <c r="P99">
        <v>149</v>
      </c>
      <c r="Q99">
        <v>562</v>
      </c>
      <c r="R99" t="s">
        <v>46</v>
      </c>
      <c r="S99">
        <v>0</v>
      </c>
      <c r="T99" s="10" t="s">
        <v>1274</v>
      </c>
      <c r="U99" s="23">
        <f>COUNTIF(Table1[Loan_Status],"Defaulted")/COUNTA(Table1[Loan_ID])</f>
        <v>0.248</v>
      </c>
    </row>
    <row r="100" spans="1:21" x14ac:dyDescent="0.3">
      <c r="A100" t="s">
        <v>292</v>
      </c>
      <c r="B100" t="s">
        <v>293</v>
      </c>
      <c r="C100">
        <v>25</v>
      </c>
      <c r="D100" t="s">
        <v>29</v>
      </c>
      <c r="E100" t="s">
        <v>68</v>
      </c>
      <c r="F100" t="s">
        <v>35</v>
      </c>
      <c r="G100">
        <v>132677</v>
      </c>
      <c r="H100">
        <v>362110</v>
      </c>
      <c r="I100">
        <v>24</v>
      </c>
      <c r="J100">
        <v>27.43</v>
      </c>
      <c r="K100">
        <v>19770.650000000001</v>
      </c>
      <c r="L100" t="s">
        <v>24</v>
      </c>
      <c r="M100" t="s">
        <v>32</v>
      </c>
      <c r="N100" s="12">
        <v>45204</v>
      </c>
      <c r="Q100">
        <v>623</v>
      </c>
      <c r="R100" t="s">
        <v>26</v>
      </c>
      <c r="S100">
        <v>74475.23</v>
      </c>
      <c r="T100" s="10" t="s">
        <v>1279</v>
      </c>
      <c r="U100" s="23">
        <f>COUNTIF(Table1[Loan_Status],"Defaulted")/COUNTA(Table1[Loan_ID])</f>
        <v>0.248</v>
      </c>
    </row>
    <row r="101" spans="1:21" x14ac:dyDescent="0.3">
      <c r="A101" t="s">
        <v>294</v>
      </c>
      <c r="B101" t="s">
        <v>295</v>
      </c>
      <c r="C101">
        <v>51</v>
      </c>
      <c r="D101" t="s">
        <v>21</v>
      </c>
      <c r="E101" t="s">
        <v>42</v>
      </c>
      <c r="F101" t="s">
        <v>35</v>
      </c>
      <c r="G101">
        <v>29725</v>
      </c>
      <c r="H101">
        <v>189519</v>
      </c>
      <c r="I101">
        <v>24</v>
      </c>
      <c r="J101">
        <v>13.78</v>
      </c>
      <c r="K101">
        <v>9079.67</v>
      </c>
      <c r="L101" t="s">
        <v>31</v>
      </c>
      <c r="M101" t="s">
        <v>54</v>
      </c>
      <c r="N101" s="12">
        <v>44600</v>
      </c>
      <c r="O101" t="s">
        <v>296</v>
      </c>
      <c r="P101">
        <v>58</v>
      </c>
      <c r="Q101">
        <v>677</v>
      </c>
      <c r="R101" t="s">
        <v>26</v>
      </c>
      <c r="S101">
        <v>0</v>
      </c>
      <c r="T101" s="10" t="s">
        <v>1263</v>
      </c>
      <c r="U101" s="23">
        <f>COUNTIF(Table1[Loan_Status],"Defaulted")/COUNTA(Table1[Loan_ID])</f>
        <v>0.248</v>
      </c>
    </row>
    <row r="102" spans="1:21" x14ac:dyDescent="0.3">
      <c r="A102" t="s">
        <v>297</v>
      </c>
      <c r="B102" t="s">
        <v>298</v>
      </c>
      <c r="C102">
        <v>25</v>
      </c>
      <c r="D102" t="s">
        <v>29</v>
      </c>
      <c r="E102" t="s">
        <v>30</v>
      </c>
      <c r="F102" t="s">
        <v>35</v>
      </c>
      <c r="G102">
        <v>136297</v>
      </c>
      <c r="H102">
        <v>309259</v>
      </c>
      <c r="I102">
        <v>24</v>
      </c>
      <c r="J102">
        <v>34.9</v>
      </c>
      <c r="K102">
        <v>18081.099999999999</v>
      </c>
      <c r="L102" t="s">
        <v>43</v>
      </c>
      <c r="M102" t="s">
        <v>54</v>
      </c>
      <c r="N102" s="12">
        <v>45147</v>
      </c>
      <c r="O102" t="s">
        <v>299</v>
      </c>
      <c r="P102">
        <v>96</v>
      </c>
      <c r="Q102">
        <v>629</v>
      </c>
      <c r="R102" t="s">
        <v>26</v>
      </c>
      <c r="S102">
        <v>0</v>
      </c>
      <c r="T102" s="10" t="s">
        <v>1261</v>
      </c>
      <c r="U102" s="23">
        <f>COUNTIF(Table1[Loan_Status],"Defaulted")/COUNTA(Table1[Loan_ID])</f>
        <v>0.248</v>
      </c>
    </row>
    <row r="103" spans="1:21" x14ac:dyDescent="0.3">
      <c r="A103" t="s">
        <v>300</v>
      </c>
      <c r="B103" t="s">
        <v>301</v>
      </c>
      <c r="C103">
        <v>53</v>
      </c>
      <c r="D103" t="s">
        <v>29</v>
      </c>
      <c r="E103" t="s">
        <v>49</v>
      </c>
      <c r="F103" t="s">
        <v>35</v>
      </c>
      <c r="G103">
        <v>42132</v>
      </c>
      <c r="H103">
        <v>430180</v>
      </c>
      <c r="I103">
        <v>12</v>
      </c>
      <c r="J103">
        <v>35.58</v>
      </c>
      <c r="K103">
        <v>43126.54</v>
      </c>
      <c r="L103" t="s">
        <v>43</v>
      </c>
      <c r="M103" t="s">
        <v>44</v>
      </c>
      <c r="N103" s="12">
        <v>44602</v>
      </c>
      <c r="O103" t="s">
        <v>302</v>
      </c>
      <c r="P103">
        <v>253</v>
      </c>
      <c r="Q103">
        <v>748</v>
      </c>
      <c r="R103" t="s">
        <v>46</v>
      </c>
      <c r="S103">
        <v>0</v>
      </c>
      <c r="T103" s="10" t="s">
        <v>1263</v>
      </c>
      <c r="U103" s="23">
        <f>COUNTIF(Table1[Loan_Status],"Defaulted")/COUNTA(Table1[Loan_ID])</f>
        <v>0.248</v>
      </c>
    </row>
    <row r="104" spans="1:21" x14ac:dyDescent="0.3">
      <c r="A104" t="s">
        <v>303</v>
      </c>
      <c r="B104" t="s">
        <v>304</v>
      </c>
      <c r="C104">
        <v>54</v>
      </c>
      <c r="D104" t="s">
        <v>29</v>
      </c>
      <c r="E104" t="s">
        <v>42</v>
      </c>
      <c r="F104" t="s">
        <v>35</v>
      </c>
      <c r="G104">
        <v>89158</v>
      </c>
      <c r="H104">
        <v>208117</v>
      </c>
      <c r="I104">
        <v>18</v>
      </c>
      <c r="J104">
        <v>30.59</v>
      </c>
      <c r="K104">
        <v>14561.06</v>
      </c>
      <c r="L104" t="s">
        <v>24</v>
      </c>
      <c r="M104" t="s">
        <v>25</v>
      </c>
      <c r="N104" s="12">
        <v>45208</v>
      </c>
      <c r="Q104">
        <v>642</v>
      </c>
      <c r="R104" t="s">
        <v>26</v>
      </c>
      <c r="S104">
        <v>0</v>
      </c>
      <c r="T104" s="10" t="s">
        <v>1279</v>
      </c>
      <c r="U104" s="23">
        <f>COUNTIF(Table1[Loan_Status],"Defaulted")/COUNTA(Table1[Loan_ID])</f>
        <v>0.248</v>
      </c>
    </row>
    <row r="105" spans="1:21" x14ac:dyDescent="0.3">
      <c r="A105" t="s">
        <v>305</v>
      </c>
      <c r="B105" t="s">
        <v>306</v>
      </c>
      <c r="C105">
        <v>45</v>
      </c>
      <c r="D105" t="s">
        <v>21</v>
      </c>
      <c r="E105" t="s">
        <v>42</v>
      </c>
      <c r="F105" t="s">
        <v>23</v>
      </c>
      <c r="G105">
        <v>102388</v>
      </c>
      <c r="H105">
        <v>47730</v>
      </c>
      <c r="I105">
        <v>24</v>
      </c>
      <c r="J105">
        <v>27.93</v>
      </c>
      <c r="K105">
        <v>2618.13</v>
      </c>
      <c r="L105" t="s">
        <v>36</v>
      </c>
      <c r="M105" t="s">
        <v>32</v>
      </c>
      <c r="N105" s="12">
        <v>45233</v>
      </c>
      <c r="Q105">
        <v>701</v>
      </c>
      <c r="R105" t="s">
        <v>26</v>
      </c>
      <c r="S105">
        <v>9081.4</v>
      </c>
      <c r="T105" s="10" t="s">
        <v>1273</v>
      </c>
      <c r="U105" s="23">
        <f>COUNTIF(Table1[Loan_Status],"Defaulted")/COUNTA(Table1[Loan_ID])</f>
        <v>0.248</v>
      </c>
    </row>
    <row r="106" spans="1:21" x14ac:dyDescent="0.3">
      <c r="A106" t="s">
        <v>307</v>
      </c>
      <c r="B106" t="s">
        <v>308</v>
      </c>
      <c r="C106">
        <v>40</v>
      </c>
      <c r="D106" t="s">
        <v>21</v>
      </c>
      <c r="E106" t="s">
        <v>42</v>
      </c>
      <c r="F106" t="s">
        <v>23</v>
      </c>
      <c r="G106">
        <v>39498</v>
      </c>
      <c r="H106">
        <v>343703</v>
      </c>
      <c r="I106">
        <v>18</v>
      </c>
      <c r="J106">
        <v>24.2</v>
      </c>
      <c r="K106">
        <v>22959.32</v>
      </c>
      <c r="L106" t="s">
        <v>43</v>
      </c>
      <c r="M106" t="s">
        <v>32</v>
      </c>
      <c r="N106" s="12">
        <v>44878</v>
      </c>
      <c r="Q106">
        <v>484</v>
      </c>
      <c r="R106" t="s">
        <v>26</v>
      </c>
      <c r="S106">
        <v>263214.12</v>
      </c>
      <c r="T106" s="10" t="s">
        <v>1269</v>
      </c>
      <c r="U106" s="23">
        <f>COUNTIF(Table1[Loan_Status],"Defaulted")/COUNTA(Table1[Loan_ID])</f>
        <v>0.248</v>
      </c>
    </row>
    <row r="107" spans="1:21" x14ac:dyDescent="0.3">
      <c r="A107" t="s">
        <v>309</v>
      </c>
      <c r="B107" t="s">
        <v>310</v>
      </c>
      <c r="C107">
        <v>52</v>
      </c>
      <c r="D107" t="s">
        <v>29</v>
      </c>
      <c r="E107" t="s">
        <v>22</v>
      </c>
      <c r="F107" t="s">
        <v>23</v>
      </c>
      <c r="G107">
        <v>55617</v>
      </c>
      <c r="H107">
        <v>45456</v>
      </c>
      <c r="I107">
        <v>12</v>
      </c>
      <c r="J107">
        <v>32.270000000000003</v>
      </c>
      <c r="K107">
        <v>4482.28</v>
      </c>
      <c r="L107" t="s">
        <v>43</v>
      </c>
      <c r="M107" t="s">
        <v>25</v>
      </c>
      <c r="N107" s="12">
        <v>45239</v>
      </c>
      <c r="Q107">
        <v>644</v>
      </c>
      <c r="R107" t="s">
        <v>46</v>
      </c>
      <c r="S107">
        <v>0</v>
      </c>
      <c r="T107" s="10" t="s">
        <v>1273</v>
      </c>
      <c r="U107" s="23">
        <f>COUNTIF(Table1[Loan_Status],"Defaulted")/COUNTA(Table1[Loan_ID])</f>
        <v>0.248</v>
      </c>
    </row>
    <row r="108" spans="1:21" x14ac:dyDescent="0.3">
      <c r="A108" t="s">
        <v>311</v>
      </c>
      <c r="B108" t="s">
        <v>312</v>
      </c>
      <c r="C108">
        <v>45</v>
      </c>
      <c r="D108" t="s">
        <v>29</v>
      </c>
      <c r="E108" t="s">
        <v>22</v>
      </c>
      <c r="F108" t="s">
        <v>23</v>
      </c>
      <c r="G108">
        <v>58395</v>
      </c>
      <c r="H108">
        <v>383107</v>
      </c>
      <c r="I108">
        <v>18</v>
      </c>
      <c r="J108">
        <v>13.05</v>
      </c>
      <c r="K108">
        <v>23549.94</v>
      </c>
      <c r="L108" t="s">
        <v>36</v>
      </c>
      <c r="M108" t="s">
        <v>44</v>
      </c>
      <c r="N108" s="12">
        <v>45016</v>
      </c>
      <c r="O108" t="s">
        <v>199</v>
      </c>
      <c r="P108">
        <v>312</v>
      </c>
      <c r="Q108">
        <v>591</v>
      </c>
      <c r="R108" t="s">
        <v>46</v>
      </c>
      <c r="S108">
        <v>0</v>
      </c>
      <c r="T108" s="10" t="s">
        <v>1271</v>
      </c>
      <c r="U108" s="23">
        <f>COUNTIF(Table1[Loan_Status],"Defaulted")/COUNTA(Table1[Loan_ID])</f>
        <v>0.248</v>
      </c>
    </row>
    <row r="109" spans="1:21" x14ac:dyDescent="0.3">
      <c r="A109" t="s">
        <v>313</v>
      </c>
      <c r="B109" t="s">
        <v>314</v>
      </c>
      <c r="C109">
        <v>35</v>
      </c>
      <c r="D109" t="s">
        <v>29</v>
      </c>
      <c r="E109" t="s">
        <v>42</v>
      </c>
      <c r="F109" t="s">
        <v>35</v>
      </c>
      <c r="G109">
        <v>65860</v>
      </c>
      <c r="H109">
        <v>197854</v>
      </c>
      <c r="I109">
        <v>24</v>
      </c>
      <c r="J109">
        <v>35.630000000000003</v>
      </c>
      <c r="K109">
        <v>11644</v>
      </c>
      <c r="L109" t="s">
        <v>31</v>
      </c>
      <c r="M109" t="s">
        <v>32</v>
      </c>
      <c r="N109" s="12">
        <v>44953</v>
      </c>
      <c r="Q109">
        <v>814</v>
      </c>
      <c r="R109" t="s">
        <v>26</v>
      </c>
      <c r="S109">
        <v>92837.42</v>
      </c>
      <c r="T109" s="10" t="s">
        <v>1266</v>
      </c>
      <c r="U109" s="23">
        <f>COUNTIF(Table1[Loan_Status],"Defaulted")/COUNTA(Table1[Loan_ID])</f>
        <v>0.248</v>
      </c>
    </row>
    <row r="110" spans="1:21" x14ac:dyDescent="0.3">
      <c r="A110" t="s">
        <v>315</v>
      </c>
      <c r="B110" t="s">
        <v>316</v>
      </c>
      <c r="C110">
        <v>33</v>
      </c>
      <c r="D110" t="s">
        <v>29</v>
      </c>
      <c r="E110" t="s">
        <v>42</v>
      </c>
      <c r="F110" t="s">
        <v>23</v>
      </c>
      <c r="G110">
        <v>140983</v>
      </c>
      <c r="H110">
        <v>463289</v>
      </c>
      <c r="I110">
        <v>12</v>
      </c>
      <c r="J110">
        <v>25.31</v>
      </c>
      <c r="K110">
        <v>44102.66</v>
      </c>
      <c r="L110" t="s">
        <v>43</v>
      </c>
      <c r="M110" t="s">
        <v>25</v>
      </c>
      <c r="N110" s="12">
        <v>44853</v>
      </c>
      <c r="Q110">
        <v>385</v>
      </c>
      <c r="R110" t="s">
        <v>46</v>
      </c>
      <c r="S110">
        <v>0</v>
      </c>
      <c r="T110" s="10" t="s">
        <v>1267</v>
      </c>
      <c r="U110" s="23">
        <f>COUNTIF(Table1[Loan_Status],"Defaulted")/COUNTA(Table1[Loan_ID])</f>
        <v>0.248</v>
      </c>
    </row>
    <row r="111" spans="1:21" x14ac:dyDescent="0.3">
      <c r="A111" t="s">
        <v>317</v>
      </c>
      <c r="B111" t="s">
        <v>318</v>
      </c>
      <c r="C111">
        <v>49</v>
      </c>
      <c r="D111" t="s">
        <v>29</v>
      </c>
      <c r="E111" t="s">
        <v>68</v>
      </c>
      <c r="F111" t="s">
        <v>23</v>
      </c>
      <c r="G111">
        <v>73205</v>
      </c>
      <c r="H111">
        <v>433187</v>
      </c>
      <c r="I111">
        <v>18</v>
      </c>
      <c r="J111">
        <v>33.229999999999997</v>
      </c>
      <c r="K111">
        <v>30885</v>
      </c>
      <c r="L111" t="s">
        <v>43</v>
      </c>
      <c r="M111" t="s">
        <v>54</v>
      </c>
      <c r="N111" s="12">
        <v>44616</v>
      </c>
      <c r="O111" t="s">
        <v>319</v>
      </c>
      <c r="P111">
        <v>405</v>
      </c>
      <c r="Q111">
        <v>814</v>
      </c>
      <c r="R111" t="s">
        <v>26</v>
      </c>
      <c r="S111">
        <v>0</v>
      </c>
      <c r="T111" s="10" t="s">
        <v>1263</v>
      </c>
      <c r="U111" s="23">
        <f>COUNTIF(Table1[Loan_Status],"Defaulted")/COUNTA(Table1[Loan_ID])</f>
        <v>0.248</v>
      </c>
    </row>
    <row r="112" spans="1:21" x14ac:dyDescent="0.3">
      <c r="A112" t="s">
        <v>320</v>
      </c>
      <c r="B112" t="s">
        <v>321</v>
      </c>
      <c r="C112">
        <v>36</v>
      </c>
      <c r="D112" t="s">
        <v>21</v>
      </c>
      <c r="E112" t="s">
        <v>49</v>
      </c>
      <c r="F112" t="s">
        <v>35</v>
      </c>
      <c r="G112">
        <v>73861</v>
      </c>
      <c r="H112">
        <v>19778</v>
      </c>
      <c r="I112">
        <v>12</v>
      </c>
      <c r="J112">
        <v>34.340000000000003</v>
      </c>
      <c r="K112">
        <v>1970.57</v>
      </c>
      <c r="L112" t="s">
        <v>36</v>
      </c>
      <c r="M112" t="s">
        <v>44</v>
      </c>
      <c r="N112" s="12">
        <v>44702</v>
      </c>
      <c r="O112" t="s">
        <v>222</v>
      </c>
      <c r="P112">
        <v>39</v>
      </c>
      <c r="Q112">
        <v>593</v>
      </c>
      <c r="R112" t="s">
        <v>46</v>
      </c>
      <c r="S112">
        <v>0</v>
      </c>
      <c r="T112" s="10" t="s">
        <v>1272</v>
      </c>
      <c r="U112" s="23">
        <f>COUNTIF(Table1[Loan_Status],"Defaulted")/COUNTA(Table1[Loan_ID])</f>
        <v>0.248</v>
      </c>
    </row>
    <row r="113" spans="1:21" x14ac:dyDescent="0.3">
      <c r="A113" t="s">
        <v>322</v>
      </c>
      <c r="B113" t="s">
        <v>323</v>
      </c>
      <c r="C113">
        <v>29</v>
      </c>
      <c r="D113" t="s">
        <v>21</v>
      </c>
      <c r="E113" t="s">
        <v>68</v>
      </c>
      <c r="F113" t="s">
        <v>23</v>
      </c>
      <c r="G113">
        <v>35768</v>
      </c>
      <c r="H113">
        <v>14963</v>
      </c>
      <c r="I113">
        <v>12</v>
      </c>
      <c r="J113">
        <v>17.18</v>
      </c>
      <c r="K113">
        <v>1365.98</v>
      </c>
      <c r="L113" t="s">
        <v>39</v>
      </c>
      <c r="M113" t="s">
        <v>54</v>
      </c>
      <c r="N113" s="12">
        <v>44675</v>
      </c>
      <c r="O113" t="s">
        <v>324</v>
      </c>
      <c r="P113">
        <v>794</v>
      </c>
      <c r="Q113">
        <v>595</v>
      </c>
      <c r="R113" t="s">
        <v>26</v>
      </c>
      <c r="S113">
        <v>0</v>
      </c>
      <c r="T113" s="10" t="s">
        <v>1274</v>
      </c>
      <c r="U113" s="23">
        <f>COUNTIF(Table1[Loan_Status],"Defaulted")/COUNTA(Table1[Loan_ID])</f>
        <v>0.248</v>
      </c>
    </row>
    <row r="114" spans="1:21" x14ac:dyDescent="0.3">
      <c r="A114" t="s">
        <v>325</v>
      </c>
      <c r="B114" t="s">
        <v>326</v>
      </c>
      <c r="C114">
        <v>40</v>
      </c>
      <c r="D114" t="s">
        <v>29</v>
      </c>
      <c r="E114" t="s">
        <v>49</v>
      </c>
      <c r="F114" t="s">
        <v>23</v>
      </c>
      <c r="G114">
        <v>125054</v>
      </c>
      <c r="H114">
        <v>339994</v>
      </c>
      <c r="I114">
        <v>24</v>
      </c>
      <c r="J114">
        <v>22.97</v>
      </c>
      <c r="K114">
        <v>17801.55</v>
      </c>
      <c r="L114" t="s">
        <v>43</v>
      </c>
      <c r="M114" t="s">
        <v>54</v>
      </c>
      <c r="N114" s="12">
        <v>45173</v>
      </c>
      <c r="O114" t="s">
        <v>327</v>
      </c>
      <c r="P114">
        <v>274</v>
      </c>
      <c r="Q114">
        <v>316</v>
      </c>
      <c r="R114" t="s">
        <v>26</v>
      </c>
      <c r="S114">
        <v>0</v>
      </c>
      <c r="T114" s="10" t="s">
        <v>1284</v>
      </c>
      <c r="U114" s="23">
        <f>COUNTIF(Table1[Loan_Status],"Defaulted")/COUNTA(Table1[Loan_ID])</f>
        <v>0.248</v>
      </c>
    </row>
    <row r="115" spans="1:21" x14ac:dyDescent="0.3">
      <c r="A115" t="s">
        <v>328</v>
      </c>
      <c r="B115" t="s">
        <v>329</v>
      </c>
      <c r="C115">
        <v>36</v>
      </c>
      <c r="D115" t="s">
        <v>29</v>
      </c>
      <c r="E115" t="s">
        <v>42</v>
      </c>
      <c r="F115" t="s">
        <v>35</v>
      </c>
      <c r="G115">
        <v>15410</v>
      </c>
      <c r="H115">
        <v>327337</v>
      </c>
      <c r="I115">
        <v>12</v>
      </c>
      <c r="J115">
        <v>17.77</v>
      </c>
      <c r="K115">
        <v>29974.44</v>
      </c>
      <c r="L115" t="s">
        <v>31</v>
      </c>
      <c r="M115" t="s">
        <v>44</v>
      </c>
      <c r="N115" s="12">
        <v>45242</v>
      </c>
      <c r="O115" t="s">
        <v>331</v>
      </c>
      <c r="P115">
        <v>171</v>
      </c>
      <c r="Q115">
        <v>387</v>
      </c>
      <c r="R115" t="s">
        <v>46</v>
      </c>
      <c r="S115">
        <v>0</v>
      </c>
      <c r="T115" s="10" t="s">
        <v>1273</v>
      </c>
      <c r="U115" s="23">
        <f>COUNTIF(Table1[Loan_Status],"Defaulted")/COUNTA(Table1[Loan_ID])</f>
        <v>0.248</v>
      </c>
    </row>
    <row r="116" spans="1:21" x14ac:dyDescent="0.3">
      <c r="A116" t="s">
        <v>332</v>
      </c>
      <c r="B116" t="s">
        <v>333</v>
      </c>
      <c r="C116">
        <v>25</v>
      </c>
      <c r="D116" t="s">
        <v>29</v>
      </c>
      <c r="E116" t="s">
        <v>68</v>
      </c>
      <c r="F116" t="s">
        <v>35</v>
      </c>
      <c r="G116">
        <v>26412</v>
      </c>
      <c r="H116">
        <v>338274</v>
      </c>
      <c r="I116">
        <v>18</v>
      </c>
      <c r="J116">
        <v>35.54</v>
      </c>
      <c r="K116">
        <v>24515.82</v>
      </c>
      <c r="L116" t="s">
        <v>36</v>
      </c>
      <c r="M116" t="s">
        <v>25</v>
      </c>
      <c r="N116" s="12">
        <v>44927</v>
      </c>
      <c r="Q116">
        <v>369</v>
      </c>
      <c r="R116" t="s">
        <v>46</v>
      </c>
      <c r="S116">
        <v>0</v>
      </c>
      <c r="T116" s="10" t="s">
        <v>1266</v>
      </c>
      <c r="U116" s="23">
        <f>COUNTIF(Table1[Loan_Status],"Defaulted")/COUNTA(Table1[Loan_ID])</f>
        <v>0.248</v>
      </c>
    </row>
    <row r="117" spans="1:21" x14ac:dyDescent="0.3">
      <c r="A117" t="s">
        <v>334</v>
      </c>
      <c r="B117" t="s">
        <v>335</v>
      </c>
      <c r="C117">
        <v>42</v>
      </c>
      <c r="D117" t="s">
        <v>29</v>
      </c>
      <c r="E117" t="s">
        <v>49</v>
      </c>
      <c r="F117" t="s">
        <v>35</v>
      </c>
      <c r="G117">
        <v>103748</v>
      </c>
      <c r="H117">
        <v>431512</v>
      </c>
      <c r="I117">
        <v>6</v>
      </c>
      <c r="J117">
        <v>31.93</v>
      </c>
      <c r="K117">
        <v>78762.899999999994</v>
      </c>
      <c r="L117" t="s">
        <v>31</v>
      </c>
      <c r="M117" t="s">
        <v>54</v>
      </c>
      <c r="N117" s="12">
        <v>45208</v>
      </c>
      <c r="O117" t="s">
        <v>336</v>
      </c>
      <c r="P117">
        <v>93</v>
      </c>
      <c r="Q117">
        <v>438</v>
      </c>
      <c r="R117" t="s">
        <v>26</v>
      </c>
      <c r="S117">
        <v>0</v>
      </c>
      <c r="T117" s="10" t="s">
        <v>1279</v>
      </c>
      <c r="U117" s="23">
        <f>COUNTIF(Table1[Loan_Status],"Defaulted")/COUNTA(Table1[Loan_ID])</f>
        <v>0.248</v>
      </c>
    </row>
    <row r="118" spans="1:21" x14ac:dyDescent="0.3">
      <c r="A118" t="s">
        <v>337</v>
      </c>
      <c r="B118" t="s">
        <v>338</v>
      </c>
      <c r="C118">
        <v>50</v>
      </c>
      <c r="D118" t="s">
        <v>29</v>
      </c>
      <c r="E118" t="s">
        <v>42</v>
      </c>
      <c r="F118" t="s">
        <v>23</v>
      </c>
      <c r="G118">
        <v>26483</v>
      </c>
      <c r="H118">
        <v>419769</v>
      </c>
      <c r="I118">
        <v>6</v>
      </c>
      <c r="J118">
        <v>33.26</v>
      </c>
      <c r="K118">
        <v>76902.899999999994</v>
      </c>
      <c r="L118" t="s">
        <v>36</v>
      </c>
      <c r="M118" t="s">
        <v>32</v>
      </c>
      <c r="N118" s="12">
        <v>45089</v>
      </c>
      <c r="Q118">
        <v>707</v>
      </c>
      <c r="R118" t="s">
        <v>26</v>
      </c>
      <c r="S118">
        <v>332619.03000000003</v>
      </c>
      <c r="T118" s="10" t="s">
        <v>1276</v>
      </c>
      <c r="U118" s="23">
        <f>COUNTIF(Table1[Loan_Status],"Defaulted")/COUNTA(Table1[Loan_ID])</f>
        <v>0.248</v>
      </c>
    </row>
    <row r="119" spans="1:21" x14ac:dyDescent="0.3">
      <c r="A119" t="s">
        <v>340</v>
      </c>
      <c r="B119" t="s">
        <v>341</v>
      </c>
      <c r="C119">
        <v>51</v>
      </c>
      <c r="D119" t="s">
        <v>21</v>
      </c>
      <c r="E119" t="s">
        <v>49</v>
      </c>
      <c r="F119" t="s">
        <v>23</v>
      </c>
      <c r="G119">
        <v>90002</v>
      </c>
      <c r="H119">
        <v>192157</v>
      </c>
      <c r="I119">
        <v>3</v>
      </c>
      <c r="J119">
        <v>32.78</v>
      </c>
      <c r="K119">
        <v>67583.16</v>
      </c>
      <c r="L119" t="s">
        <v>36</v>
      </c>
      <c r="M119" t="s">
        <v>32</v>
      </c>
      <c r="N119" s="12">
        <v>44689</v>
      </c>
      <c r="Q119">
        <v>676</v>
      </c>
      <c r="R119" t="s">
        <v>26</v>
      </c>
      <c r="S119">
        <v>77989.990000000005</v>
      </c>
      <c r="T119" s="10" t="s">
        <v>1272</v>
      </c>
      <c r="U119" s="23">
        <f>COUNTIF(Table1[Loan_Status],"Defaulted")/COUNTA(Table1[Loan_ID])</f>
        <v>0.248</v>
      </c>
    </row>
    <row r="120" spans="1:21" x14ac:dyDescent="0.3">
      <c r="A120" t="s">
        <v>342</v>
      </c>
      <c r="B120" t="s">
        <v>343</v>
      </c>
      <c r="C120">
        <v>49</v>
      </c>
      <c r="D120" t="s">
        <v>21</v>
      </c>
      <c r="E120" t="s">
        <v>42</v>
      </c>
      <c r="F120" t="s">
        <v>23</v>
      </c>
      <c r="G120">
        <v>145076</v>
      </c>
      <c r="H120">
        <v>367843</v>
      </c>
      <c r="I120">
        <v>18</v>
      </c>
      <c r="J120">
        <v>20.82</v>
      </c>
      <c r="K120">
        <v>23967.94</v>
      </c>
      <c r="L120" t="s">
        <v>24</v>
      </c>
      <c r="M120" t="s">
        <v>32</v>
      </c>
      <c r="N120" s="12">
        <v>44646</v>
      </c>
      <c r="Q120">
        <v>734</v>
      </c>
      <c r="R120" t="s">
        <v>26</v>
      </c>
      <c r="S120">
        <v>57107.22</v>
      </c>
      <c r="T120" s="10" t="s">
        <v>1264</v>
      </c>
      <c r="U120" s="23">
        <f>COUNTIF(Table1[Loan_Status],"Defaulted")/COUNTA(Table1[Loan_ID])</f>
        <v>0.248</v>
      </c>
    </row>
    <row r="121" spans="1:21" x14ac:dyDescent="0.3">
      <c r="A121" t="s">
        <v>344</v>
      </c>
      <c r="B121" t="s">
        <v>345</v>
      </c>
      <c r="C121">
        <v>55</v>
      </c>
      <c r="D121" t="s">
        <v>21</v>
      </c>
      <c r="E121" t="s">
        <v>42</v>
      </c>
      <c r="F121" t="s">
        <v>23</v>
      </c>
      <c r="G121">
        <v>35989</v>
      </c>
      <c r="H121">
        <v>176924</v>
      </c>
      <c r="I121">
        <v>12</v>
      </c>
      <c r="J121">
        <v>19.36</v>
      </c>
      <c r="K121">
        <v>16335.12</v>
      </c>
      <c r="L121" t="s">
        <v>24</v>
      </c>
      <c r="M121" t="s">
        <v>54</v>
      </c>
      <c r="N121" s="12">
        <v>44732</v>
      </c>
      <c r="O121" t="s">
        <v>346</v>
      </c>
      <c r="P121">
        <v>706</v>
      </c>
      <c r="Q121">
        <v>754</v>
      </c>
      <c r="R121" t="s">
        <v>26</v>
      </c>
      <c r="S121">
        <v>0</v>
      </c>
      <c r="T121" s="10" t="s">
        <v>1268</v>
      </c>
      <c r="U121" s="23">
        <f>COUNTIF(Table1[Loan_Status],"Defaulted")/COUNTA(Table1[Loan_ID])</f>
        <v>0.248</v>
      </c>
    </row>
    <row r="122" spans="1:21" x14ac:dyDescent="0.3">
      <c r="A122" t="s">
        <v>347</v>
      </c>
      <c r="B122" t="s">
        <v>348</v>
      </c>
      <c r="C122">
        <v>49</v>
      </c>
      <c r="D122" t="s">
        <v>29</v>
      </c>
      <c r="E122" t="s">
        <v>42</v>
      </c>
      <c r="F122" t="s">
        <v>35</v>
      </c>
      <c r="G122">
        <v>86973</v>
      </c>
      <c r="H122">
        <v>340266</v>
      </c>
      <c r="I122">
        <v>3</v>
      </c>
      <c r="J122">
        <v>13.8</v>
      </c>
      <c r="K122">
        <v>116040.65</v>
      </c>
      <c r="L122" t="s">
        <v>31</v>
      </c>
      <c r="M122" t="s">
        <v>32</v>
      </c>
      <c r="N122" s="12">
        <v>45087</v>
      </c>
      <c r="Q122">
        <v>463</v>
      </c>
      <c r="R122" t="s">
        <v>26</v>
      </c>
      <c r="S122">
        <v>260967.89</v>
      </c>
      <c r="T122" s="10" t="s">
        <v>1276</v>
      </c>
      <c r="U122" s="23">
        <f>COUNTIF(Table1[Loan_Status],"Defaulted")/COUNTA(Table1[Loan_ID])</f>
        <v>0.248</v>
      </c>
    </row>
    <row r="123" spans="1:21" x14ac:dyDescent="0.3">
      <c r="A123" t="s">
        <v>350</v>
      </c>
      <c r="B123" t="s">
        <v>351</v>
      </c>
      <c r="C123">
        <v>49</v>
      </c>
      <c r="D123" t="s">
        <v>29</v>
      </c>
      <c r="E123" t="s">
        <v>22</v>
      </c>
      <c r="F123" t="s">
        <v>23</v>
      </c>
      <c r="G123">
        <v>76864</v>
      </c>
      <c r="H123">
        <v>413166</v>
      </c>
      <c r="I123">
        <v>12</v>
      </c>
      <c r="J123">
        <v>20.69</v>
      </c>
      <c r="K123">
        <v>38410</v>
      </c>
      <c r="L123" t="s">
        <v>24</v>
      </c>
      <c r="M123" t="s">
        <v>25</v>
      </c>
      <c r="N123" s="12">
        <v>45181</v>
      </c>
      <c r="Q123">
        <v>457</v>
      </c>
      <c r="R123" t="s">
        <v>46</v>
      </c>
      <c r="S123">
        <v>0</v>
      </c>
      <c r="T123" s="10" t="s">
        <v>1284</v>
      </c>
      <c r="U123" s="23">
        <f>COUNTIF(Table1[Loan_Status],"Defaulted")/COUNTA(Table1[Loan_ID])</f>
        <v>0.248</v>
      </c>
    </row>
    <row r="124" spans="1:21" x14ac:dyDescent="0.3">
      <c r="A124" t="s">
        <v>352</v>
      </c>
      <c r="B124" t="s">
        <v>353</v>
      </c>
      <c r="C124">
        <v>44</v>
      </c>
      <c r="D124" t="s">
        <v>21</v>
      </c>
      <c r="E124" t="s">
        <v>49</v>
      </c>
      <c r="F124" t="s">
        <v>23</v>
      </c>
      <c r="G124">
        <v>111193</v>
      </c>
      <c r="H124">
        <v>213684</v>
      </c>
      <c r="I124">
        <v>12</v>
      </c>
      <c r="J124">
        <v>27.59</v>
      </c>
      <c r="K124">
        <v>20578.95</v>
      </c>
      <c r="L124" t="s">
        <v>39</v>
      </c>
      <c r="M124" t="s">
        <v>25</v>
      </c>
      <c r="N124" s="12">
        <v>44588</v>
      </c>
      <c r="Q124">
        <v>490</v>
      </c>
      <c r="R124" t="s">
        <v>46</v>
      </c>
      <c r="S124">
        <v>0</v>
      </c>
      <c r="T124" s="10" t="s">
        <v>1262</v>
      </c>
      <c r="U124" s="23">
        <f>COUNTIF(Table1[Loan_Status],"Defaulted")/COUNTA(Table1[Loan_ID])</f>
        <v>0.248</v>
      </c>
    </row>
    <row r="125" spans="1:21" x14ac:dyDescent="0.3">
      <c r="A125" t="s">
        <v>354</v>
      </c>
      <c r="B125" t="s">
        <v>355</v>
      </c>
      <c r="C125">
        <v>28</v>
      </c>
      <c r="D125" t="s">
        <v>21</v>
      </c>
      <c r="E125" t="s">
        <v>42</v>
      </c>
      <c r="F125" t="s">
        <v>35</v>
      </c>
      <c r="G125">
        <v>71248</v>
      </c>
      <c r="H125">
        <v>325799</v>
      </c>
      <c r="I125">
        <v>12</v>
      </c>
      <c r="J125">
        <v>28.66</v>
      </c>
      <c r="K125">
        <v>31546.85</v>
      </c>
      <c r="L125" t="s">
        <v>31</v>
      </c>
      <c r="M125" t="s">
        <v>44</v>
      </c>
      <c r="N125" s="12">
        <v>44687</v>
      </c>
      <c r="O125" t="s">
        <v>356</v>
      </c>
      <c r="P125">
        <v>138</v>
      </c>
      <c r="Q125">
        <v>375</v>
      </c>
      <c r="R125" t="s">
        <v>46</v>
      </c>
      <c r="S125">
        <v>0</v>
      </c>
      <c r="T125" s="10" t="s">
        <v>1272</v>
      </c>
      <c r="U125" s="23">
        <f>COUNTIF(Table1[Loan_Status],"Defaulted")/COUNTA(Table1[Loan_ID])</f>
        <v>0.248</v>
      </c>
    </row>
    <row r="126" spans="1:21" x14ac:dyDescent="0.3">
      <c r="A126" t="s">
        <v>357</v>
      </c>
      <c r="B126" t="s">
        <v>358</v>
      </c>
      <c r="C126">
        <v>26</v>
      </c>
      <c r="D126" t="s">
        <v>21</v>
      </c>
      <c r="E126" t="s">
        <v>42</v>
      </c>
      <c r="F126" t="s">
        <v>23</v>
      </c>
      <c r="G126">
        <v>91116</v>
      </c>
      <c r="H126">
        <v>472314</v>
      </c>
      <c r="I126">
        <v>12</v>
      </c>
      <c r="J126">
        <v>32.43</v>
      </c>
      <c r="K126">
        <v>46610.92</v>
      </c>
      <c r="L126" t="s">
        <v>39</v>
      </c>
      <c r="M126" t="s">
        <v>32</v>
      </c>
      <c r="N126" s="12">
        <v>45082</v>
      </c>
      <c r="Q126">
        <v>529</v>
      </c>
      <c r="R126" t="s">
        <v>26</v>
      </c>
      <c r="S126">
        <v>87356.23</v>
      </c>
      <c r="T126" s="10" t="s">
        <v>1276</v>
      </c>
      <c r="U126" s="23">
        <f>COUNTIF(Table1[Loan_Status],"Defaulted")/COUNTA(Table1[Loan_ID])</f>
        <v>0.248</v>
      </c>
    </row>
    <row r="127" spans="1:21" x14ac:dyDescent="0.3">
      <c r="A127" t="s">
        <v>359</v>
      </c>
      <c r="B127" t="s">
        <v>360</v>
      </c>
      <c r="C127">
        <v>29</v>
      </c>
      <c r="D127" t="s">
        <v>29</v>
      </c>
      <c r="E127" t="s">
        <v>68</v>
      </c>
      <c r="F127" t="s">
        <v>23</v>
      </c>
      <c r="G127">
        <v>109606</v>
      </c>
      <c r="H127">
        <v>295466</v>
      </c>
      <c r="I127">
        <v>24</v>
      </c>
      <c r="J127">
        <v>20.85</v>
      </c>
      <c r="K127">
        <v>15160.95</v>
      </c>
      <c r="L127" t="s">
        <v>24</v>
      </c>
      <c r="M127" t="s">
        <v>44</v>
      </c>
      <c r="N127" s="12">
        <v>45188</v>
      </c>
      <c r="O127" t="s">
        <v>361</v>
      </c>
      <c r="P127">
        <v>44</v>
      </c>
      <c r="Q127">
        <v>367</v>
      </c>
      <c r="R127" t="s">
        <v>46</v>
      </c>
      <c r="S127">
        <v>0</v>
      </c>
      <c r="T127" s="10" t="s">
        <v>1284</v>
      </c>
      <c r="U127" s="23">
        <f>COUNTIF(Table1[Loan_Status],"Defaulted")/COUNTA(Table1[Loan_ID])</f>
        <v>0.248</v>
      </c>
    </row>
    <row r="128" spans="1:21" x14ac:dyDescent="0.3">
      <c r="A128" t="s">
        <v>362</v>
      </c>
      <c r="B128" t="s">
        <v>363</v>
      </c>
      <c r="C128">
        <v>54</v>
      </c>
      <c r="D128" t="s">
        <v>21</v>
      </c>
      <c r="E128" t="s">
        <v>68</v>
      </c>
      <c r="F128" t="s">
        <v>23</v>
      </c>
      <c r="G128">
        <v>47853</v>
      </c>
      <c r="H128">
        <v>171213</v>
      </c>
      <c r="I128">
        <v>3</v>
      </c>
      <c r="J128">
        <v>22.8</v>
      </c>
      <c r="K128">
        <v>59253.3</v>
      </c>
      <c r="L128" t="s">
        <v>24</v>
      </c>
      <c r="M128" t="s">
        <v>32</v>
      </c>
      <c r="N128" s="12">
        <v>44693</v>
      </c>
      <c r="Q128">
        <v>486</v>
      </c>
      <c r="R128" t="s">
        <v>26</v>
      </c>
      <c r="S128">
        <v>109139.24</v>
      </c>
      <c r="T128" s="10" t="s">
        <v>1272</v>
      </c>
      <c r="U128" s="23">
        <f>COUNTIF(Table1[Loan_Status],"Defaulted")/COUNTA(Table1[Loan_ID])</f>
        <v>0.248</v>
      </c>
    </row>
    <row r="129" spans="1:21" x14ac:dyDescent="0.3">
      <c r="A129" t="s">
        <v>365</v>
      </c>
      <c r="B129" t="s">
        <v>366</v>
      </c>
      <c r="C129">
        <v>48</v>
      </c>
      <c r="D129" t="s">
        <v>29</v>
      </c>
      <c r="E129" t="s">
        <v>49</v>
      </c>
      <c r="F129" t="s">
        <v>23</v>
      </c>
      <c r="G129">
        <v>94724</v>
      </c>
      <c r="H129">
        <v>91327</v>
      </c>
      <c r="I129">
        <v>6</v>
      </c>
      <c r="J129">
        <v>19.739999999999998</v>
      </c>
      <c r="K129">
        <v>16109.44</v>
      </c>
      <c r="L129" t="s">
        <v>39</v>
      </c>
      <c r="M129" t="s">
        <v>32</v>
      </c>
      <c r="N129" s="12">
        <v>45093</v>
      </c>
      <c r="Q129">
        <v>590</v>
      </c>
      <c r="R129" t="s">
        <v>26</v>
      </c>
      <c r="S129">
        <v>63212.31</v>
      </c>
      <c r="T129" s="10" t="s">
        <v>1276</v>
      </c>
      <c r="U129" s="23">
        <f>COUNTIF(Table1[Loan_Status],"Defaulted")/COUNTA(Table1[Loan_ID])</f>
        <v>0.248</v>
      </c>
    </row>
    <row r="130" spans="1:21" x14ac:dyDescent="0.3">
      <c r="A130" t="s">
        <v>367</v>
      </c>
      <c r="B130" t="s">
        <v>368</v>
      </c>
      <c r="C130">
        <v>33</v>
      </c>
      <c r="D130" t="s">
        <v>21</v>
      </c>
      <c r="E130" t="s">
        <v>22</v>
      </c>
      <c r="F130" t="s">
        <v>35</v>
      </c>
      <c r="G130">
        <v>39491</v>
      </c>
      <c r="H130">
        <v>268493</v>
      </c>
      <c r="I130">
        <v>6</v>
      </c>
      <c r="J130">
        <v>26.2</v>
      </c>
      <c r="K130">
        <v>48229.919999999998</v>
      </c>
      <c r="L130" t="s">
        <v>24</v>
      </c>
      <c r="M130" t="s">
        <v>44</v>
      </c>
      <c r="N130" s="12">
        <v>44737</v>
      </c>
      <c r="O130" t="s">
        <v>369</v>
      </c>
      <c r="P130">
        <v>674</v>
      </c>
      <c r="Q130">
        <v>645</v>
      </c>
      <c r="R130" t="s">
        <v>46</v>
      </c>
      <c r="S130">
        <v>0</v>
      </c>
      <c r="T130" s="10" t="s">
        <v>1268</v>
      </c>
      <c r="U130" s="23">
        <f>COUNTIF(Table1[Loan_Status],"Defaulted")/COUNTA(Table1[Loan_ID])</f>
        <v>0.248</v>
      </c>
    </row>
    <row r="131" spans="1:21" x14ac:dyDescent="0.3">
      <c r="A131" t="s">
        <v>370</v>
      </c>
      <c r="B131" t="s">
        <v>371</v>
      </c>
      <c r="C131">
        <v>22</v>
      </c>
      <c r="D131" t="s">
        <v>29</v>
      </c>
      <c r="E131" t="s">
        <v>49</v>
      </c>
      <c r="F131" t="s">
        <v>35</v>
      </c>
      <c r="G131">
        <v>70262</v>
      </c>
      <c r="H131">
        <v>407107</v>
      </c>
      <c r="I131">
        <v>24</v>
      </c>
      <c r="J131">
        <v>22</v>
      </c>
      <c r="K131">
        <v>21119.96</v>
      </c>
      <c r="L131" t="s">
        <v>43</v>
      </c>
      <c r="M131" t="s">
        <v>54</v>
      </c>
      <c r="N131" s="12">
        <v>45204</v>
      </c>
      <c r="O131" t="s">
        <v>372</v>
      </c>
      <c r="P131">
        <v>148</v>
      </c>
      <c r="Q131">
        <v>609</v>
      </c>
      <c r="R131" t="s">
        <v>26</v>
      </c>
      <c r="S131">
        <v>0</v>
      </c>
      <c r="T131" s="10" t="s">
        <v>1279</v>
      </c>
      <c r="U131" s="23">
        <f>COUNTIF(Table1[Loan_Status],"Defaulted")/COUNTA(Table1[Loan_ID])</f>
        <v>0.248</v>
      </c>
    </row>
    <row r="132" spans="1:21" x14ac:dyDescent="0.3">
      <c r="A132" t="s">
        <v>373</v>
      </c>
      <c r="B132" t="s">
        <v>374</v>
      </c>
      <c r="C132">
        <v>36</v>
      </c>
      <c r="D132" t="s">
        <v>21</v>
      </c>
      <c r="E132" t="s">
        <v>42</v>
      </c>
      <c r="F132" t="s">
        <v>35</v>
      </c>
      <c r="G132">
        <v>34129</v>
      </c>
      <c r="H132">
        <v>366031</v>
      </c>
      <c r="I132">
        <v>3</v>
      </c>
      <c r="J132">
        <v>15.79</v>
      </c>
      <c r="K132">
        <v>125235.23</v>
      </c>
      <c r="L132" t="s">
        <v>31</v>
      </c>
      <c r="M132" t="s">
        <v>54</v>
      </c>
      <c r="N132" s="12">
        <v>45037</v>
      </c>
      <c r="O132" t="s">
        <v>375</v>
      </c>
      <c r="P132">
        <v>104</v>
      </c>
      <c r="Q132">
        <v>648</v>
      </c>
      <c r="R132" t="s">
        <v>26</v>
      </c>
      <c r="S132">
        <v>0</v>
      </c>
      <c r="T132" s="10" t="s">
        <v>1278</v>
      </c>
      <c r="U132" s="23">
        <f>COUNTIF(Table1[Loan_Status],"Defaulted")/COUNTA(Table1[Loan_ID])</f>
        <v>0.248</v>
      </c>
    </row>
    <row r="133" spans="1:21" x14ac:dyDescent="0.3">
      <c r="A133" t="s">
        <v>376</v>
      </c>
      <c r="B133" t="s">
        <v>377</v>
      </c>
      <c r="C133">
        <v>41</v>
      </c>
      <c r="D133" t="s">
        <v>21</v>
      </c>
      <c r="E133" t="s">
        <v>42</v>
      </c>
      <c r="F133" t="s">
        <v>35</v>
      </c>
      <c r="G133">
        <v>49279</v>
      </c>
      <c r="H133">
        <v>403807</v>
      </c>
      <c r="I133">
        <v>12</v>
      </c>
      <c r="J133">
        <v>24.36</v>
      </c>
      <c r="K133">
        <v>38254.21</v>
      </c>
      <c r="L133" t="s">
        <v>43</v>
      </c>
      <c r="M133" t="s">
        <v>32</v>
      </c>
      <c r="N133" s="12">
        <v>44809</v>
      </c>
      <c r="Q133">
        <v>777</v>
      </c>
      <c r="R133" t="s">
        <v>26</v>
      </c>
      <c r="S133">
        <v>75013.34</v>
      </c>
      <c r="T133" s="10" t="s">
        <v>1270</v>
      </c>
      <c r="U133" s="23">
        <f>COUNTIF(Table1[Loan_Status],"Defaulted")/COUNTA(Table1[Loan_ID])</f>
        <v>0.248</v>
      </c>
    </row>
    <row r="134" spans="1:21" x14ac:dyDescent="0.3">
      <c r="A134" t="s">
        <v>378</v>
      </c>
      <c r="B134" t="s">
        <v>379</v>
      </c>
      <c r="C134">
        <v>36</v>
      </c>
      <c r="D134" t="s">
        <v>29</v>
      </c>
      <c r="E134" t="s">
        <v>49</v>
      </c>
      <c r="F134" t="s">
        <v>23</v>
      </c>
      <c r="G134">
        <v>91077</v>
      </c>
      <c r="H134">
        <v>206405</v>
      </c>
      <c r="I134">
        <v>24</v>
      </c>
      <c r="J134">
        <v>22.04</v>
      </c>
      <c r="K134">
        <v>10711.99</v>
      </c>
      <c r="L134" t="s">
        <v>39</v>
      </c>
      <c r="M134" t="s">
        <v>32</v>
      </c>
      <c r="N134" s="12">
        <v>45153</v>
      </c>
      <c r="Q134">
        <v>620</v>
      </c>
      <c r="R134" t="s">
        <v>26</v>
      </c>
      <c r="S134">
        <v>48068.4</v>
      </c>
      <c r="T134" s="10" t="s">
        <v>1261</v>
      </c>
      <c r="U134" s="23">
        <f>COUNTIF(Table1[Loan_Status],"Defaulted")/COUNTA(Table1[Loan_ID])</f>
        <v>0.248</v>
      </c>
    </row>
    <row r="135" spans="1:21" x14ac:dyDescent="0.3">
      <c r="A135" t="s">
        <v>380</v>
      </c>
      <c r="B135" t="s">
        <v>381</v>
      </c>
      <c r="C135">
        <v>52</v>
      </c>
      <c r="D135" t="s">
        <v>21</v>
      </c>
      <c r="E135" t="s">
        <v>68</v>
      </c>
      <c r="F135" t="s">
        <v>35</v>
      </c>
      <c r="G135">
        <v>145382</v>
      </c>
      <c r="H135">
        <v>17151</v>
      </c>
      <c r="I135">
        <v>3</v>
      </c>
      <c r="J135">
        <v>34.69</v>
      </c>
      <c r="K135">
        <v>6050.68</v>
      </c>
      <c r="L135" t="s">
        <v>24</v>
      </c>
      <c r="M135" t="s">
        <v>54</v>
      </c>
      <c r="N135" s="12">
        <v>44808</v>
      </c>
      <c r="O135" t="s">
        <v>122</v>
      </c>
      <c r="P135">
        <v>220</v>
      </c>
      <c r="Q135">
        <v>661</v>
      </c>
      <c r="R135" t="s">
        <v>26</v>
      </c>
      <c r="S135">
        <v>0</v>
      </c>
      <c r="T135" s="10" t="s">
        <v>1270</v>
      </c>
      <c r="U135" s="23">
        <f>COUNTIF(Table1[Loan_Status],"Defaulted")/COUNTA(Table1[Loan_ID])</f>
        <v>0.248</v>
      </c>
    </row>
    <row r="136" spans="1:21" x14ac:dyDescent="0.3">
      <c r="A136" t="s">
        <v>382</v>
      </c>
      <c r="B136" t="s">
        <v>383</v>
      </c>
      <c r="C136">
        <v>24</v>
      </c>
      <c r="D136" t="s">
        <v>21</v>
      </c>
      <c r="E136" t="s">
        <v>68</v>
      </c>
      <c r="F136" t="s">
        <v>35</v>
      </c>
      <c r="G136">
        <v>89907</v>
      </c>
      <c r="H136">
        <v>286380</v>
      </c>
      <c r="I136">
        <v>3</v>
      </c>
      <c r="J136">
        <v>32.33</v>
      </c>
      <c r="K136">
        <v>100649.28</v>
      </c>
      <c r="L136" t="s">
        <v>31</v>
      </c>
      <c r="M136" t="s">
        <v>44</v>
      </c>
      <c r="N136" s="12">
        <v>44832</v>
      </c>
      <c r="O136" t="s">
        <v>384</v>
      </c>
      <c r="P136">
        <v>374</v>
      </c>
      <c r="Q136">
        <v>712</v>
      </c>
      <c r="R136" t="s">
        <v>46</v>
      </c>
      <c r="S136">
        <v>0</v>
      </c>
      <c r="T136" s="10" t="s">
        <v>1270</v>
      </c>
      <c r="U136" s="23">
        <f>COUNTIF(Table1[Loan_Status],"Defaulted")/COUNTA(Table1[Loan_ID])</f>
        <v>0.248</v>
      </c>
    </row>
    <row r="137" spans="1:21" x14ac:dyDescent="0.3">
      <c r="A137" t="s">
        <v>385</v>
      </c>
      <c r="B137" t="s">
        <v>386</v>
      </c>
      <c r="C137">
        <v>24</v>
      </c>
      <c r="D137" t="s">
        <v>29</v>
      </c>
      <c r="E137" t="s">
        <v>42</v>
      </c>
      <c r="F137" t="s">
        <v>35</v>
      </c>
      <c r="G137">
        <v>34275</v>
      </c>
      <c r="H137">
        <v>207558</v>
      </c>
      <c r="I137">
        <v>24</v>
      </c>
      <c r="J137">
        <v>22.81</v>
      </c>
      <c r="K137">
        <v>10850.93</v>
      </c>
      <c r="L137" t="s">
        <v>24</v>
      </c>
      <c r="M137" t="s">
        <v>32</v>
      </c>
      <c r="N137" s="12">
        <v>45200</v>
      </c>
      <c r="Q137">
        <v>421</v>
      </c>
      <c r="R137" t="s">
        <v>26</v>
      </c>
      <c r="S137">
        <v>39449.379999999997</v>
      </c>
      <c r="T137" s="10" t="s">
        <v>1279</v>
      </c>
      <c r="U137" s="23">
        <f>COUNTIF(Table1[Loan_Status],"Defaulted")/COUNTA(Table1[Loan_ID])</f>
        <v>0.248</v>
      </c>
    </row>
    <row r="138" spans="1:21" x14ac:dyDescent="0.3">
      <c r="A138" t="s">
        <v>387</v>
      </c>
      <c r="B138" t="s">
        <v>388</v>
      </c>
      <c r="C138">
        <v>46</v>
      </c>
      <c r="D138" t="s">
        <v>21</v>
      </c>
      <c r="E138" t="s">
        <v>42</v>
      </c>
      <c r="F138" t="s">
        <v>35</v>
      </c>
      <c r="G138">
        <v>52818</v>
      </c>
      <c r="H138">
        <v>109363</v>
      </c>
      <c r="I138">
        <v>24</v>
      </c>
      <c r="J138">
        <v>24.22</v>
      </c>
      <c r="K138">
        <v>5794.16</v>
      </c>
      <c r="L138" t="s">
        <v>24</v>
      </c>
      <c r="M138" t="s">
        <v>25</v>
      </c>
      <c r="N138" s="12">
        <v>44608</v>
      </c>
      <c r="Q138">
        <v>339</v>
      </c>
      <c r="R138" t="s">
        <v>26</v>
      </c>
      <c r="S138">
        <v>0</v>
      </c>
      <c r="T138" s="10" t="s">
        <v>1263</v>
      </c>
      <c r="U138" s="23">
        <f>COUNTIF(Table1[Loan_Status],"Defaulted")/COUNTA(Table1[Loan_ID])</f>
        <v>0.248</v>
      </c>
    </row>
    <row r="139" spans="1:21" x14ac:dyDescent="0.3">
      <c r="A139" t="s">
        <v>389</v>
      </c>
      <c r="B139" t="s">
        <v>290</v>
      </c>
      <c r="C139">
        <v>51</v>
      </c>
      <c r="D139" t="s">
        <v>21</v>
      </c>
      <c r="E139" t="s">
        <v>22</v>
      </c>
      <c r="F139" t="s">
        <v>23</v>
      </c>
      <c r="G139">
        <v>100974</v>
      </c>
      <c r="H139">
        <v>493305</v>
      </c>
      <c r="I139">
        <v>24</v>
      </c>
      <c r="J139">
        <v>19.64</v>
      </c>
      <c r="K139">
        <v>25020.48</v>
      </c>
      <c r="L139" t="s">
        <v>31</v>
      </c>
      <c r="M139" t="s">
        <v>32</v>
      </c>
      <c r="N139" s="12">
        <v>45169</v>
      </c>
      <c r="Q139">
        <v>644</v>
      </c>
      <c r="R139" t="s">
        <v>26</v>
      </c>
      <c r="S139">
        <v>224513.21</v>
      </c>
      <c r="T139" s="10" t="s">
        <v>1261</v>
      </c>
      <c r="U139" s="23">
        <f>COUNTIF(Table1[Loan_Status],"Defaulted")/COUNTA(Table1[Loan_ID])</f>
        <v>0.248</v>
      </c>
    </row>
    <row r="140" spans="1:21" x14ac:dyDescent="0.3">
      <c r="A140" t="s">
        <v>390</v>
      </c>
      <c r="B140" t="s">
        <v>391</v>
      </c>
      <c r="C140">
        <v>55</v>
      </c>
      <c r="D140" t="s">
        <v>21</v>
      </c>
      <c r="E140" t="s">
        <v>30</v>
      </c>
      <c r="F140" t="s">
        <v>35</v>
      </c>
      <c r="G140">
        <v>139490</v>
      </c>
      <c r="H140">
        <v>432687</v>
      </c>
      <c r="I140">
        <v>3</v>
      </c>
      <c r="J140">
        <v>20.84</v>
      </c>
      <c r="K140">
        <v>149267.29999999999</v>
      </c>
      <c r="L140" t="s">
        <v>43</v>
      </c>
      <c r="M140" t="s">
        <v>54</v>
      </c>
      <c r="N140" s="12">
        <v>45159</v>
      </c>
      <c r="O140" t="s">
        <v>392</v>
      </c>
      <c r="P140">
        <v>157</v>
      </c>
      <c r="Q140">
        <v>327</v>
      </c>
      <c r="R140" t="s">
        <v>26</v>
      </c>
      <c r="S140">
        <v>0</v>
      </c>
      <c r="T140" s="10" t="s">
        <v>1261</v>
      </c>
      <c r="U140" s="23">
        <f>COUNTIF(Table1[Loan_Status],"Defaulted")/COUNTA(Table1[Loan_ID])</f>
        <v>0.248</v>
      </c>
    </row>
    <row r="141" spans="1:21" x14ac:dyDescent="0.3">
      <c r="A141" t="s">
        <v>393</v>
      </c>
      <c r="B141" t="s">
        <v>394</v>
      </c>
      <c r="C141">
        <v>37</v>
      </c>
      <c r="D141" t="s">
        <v>29</v>
      </c>
      <c r="E141" t="s">
        <v>49</v>
      </c>
      <c r="F141" t="s">
        <v>35</v>
      </c>
      <c r="G141">
        <v>59698</v>
      </c>
      <c r="H141">
        <v>279848</v>
      </c>
      <c r="I141">
        <v>24</v>
      </c>
      <c r="J141">
        <v>30.59</v>
      </c>
      <c r="K141">
        <v>15732.21</v>
      </c>
      <c r="L141" t="s">
        <v>31</v>
      </c>
      <c r="M141" t="s">
        <v>44</v>
      </c>
      <c r="N141" s="12">
        <v>45259</v>
      </c>
      <c r="O141" t="s">
        <v>395</v>
      </c>
      <c r="P141">
        <v>62</v>
      </c>
      <c r="Q141">
        <v>332</v>
      </c>
      <c r="R141" t="s">
        <v>46</v>
      </c>
      <c r="S141">
        <v>0</v>
      </c>
      <c r="T141" s="10" t="s">
        <v>1273</v>
      </c>
      <c r="U141" s="23">
        <f>COUNTIF(Table1[Loan_Status],"Defaulted")/COUNTA(Table1[Loan_ID])</f>
        <v>0.248</v>
      </c>
    </row>
    <row r="142" spans="1:21" x14ac:dyDescent="0.3">
      <c r="A142" t="s">
        <v>396</v>
      </c>
      <c r="B142" t="s">
        <v>397</v>
      </c>
      <c r="C142">
        <v>33</v>
      </c>
      <c r="D142" t="s">
        <v>29</v>
      </c>
      <c r="E142" t="s">
        <v>68</v>
      </c>
      <c r="F142" t="s">
        <v>35</v>
      </c>
      <c r="G142">
        <v>124780</v>
      </c>
      <c r="H142">
        <v>84393</v>
      </c>
      <c r="I142">
        <v>18</v>
      </c>
      <c r="J142">
        <v>28.57</v>
      </c>
      <c r="K142">
        <v>5819.43</v>
      </c>
      <c r="L142" t="s">
        <v>31</v>
      </c>
      <c r="M142" t="s">
        <v>54</v>
      </c>
      <c r="N142" s="12">
        <v>44625</v>
      </c>
      <c r="O142" t="s">
        <v>398</v>
      </c>
      <c r="P142">
        <v>722</v>
      </c>
      <c r="Q142">
        <v>441</v>
      </c>
      <c r="R142" t="s">
        <v>26</v>
      </c>
      <c r="S142">
        <v>0</v>
      </c>
      <c r="T142" s="10" t="s">
        <v>1264</v>
      </c>
      <c r="U142" s="23">
        <f>COUNTIF(Table1[Loan_Status],"Defaulted")/COUNTA(Table1[Loan_ID])</f>
        <v>0.248</v>
      </c>
    </row>
    <row r="143" spans="1:21" x14ac:dyDescent="0.3">
      <c r="A143" t="s">
        <v>399</v>
      </c>
      <c r="B143" t="s">
        <v>400</v>
      </c>
      <c r="C143">
        <v>34</v>
      </c>
      <c r="D143" t="s">
        <v>21</v>
      </c>
      <c r="E143" t="s">
        <v>68</v>
      </c>
      <c r="F143" t="s">
        <v>35</v>
      </c>
      <c r="G143">
        <v>97248</v>
      </c>
      <c r="H143">
        <v>95797</v>
      </c>
      <c r="I143">
        <v>18</v>
      </c>
      <c r="J143">
        <v>33.89</v>
      </c>
      <c r="K143">
        <v>6862.14</v>
      </c>
      <c r="L143" t="s">
        <v>36</v>
      </c>
      <c r="M143" t="s">
        <v>32</v>
      </c>
      <c r="N143" s="12">
        <v>45254</v>
      </c>
      <c r="Q143">
        <v>570</v>
      </c>
      <c r="R143" t="s">
        <v>26</v>
      </c>
      <c r="S143">
        <v>50490.15</v>
      </c>
      <c r="T143" s="10" t="s">
        <v>1273</v>
      </c>
      <c r="U143" s="23">
        <f>COUNTIF(Table1[Loan_Status],"Defaulted")/COUNTA(Table1[Loan_ID])</f>
        <v>0.248</v>
      </c>
    </row>
    <row r="144" spans="1:21" x14ac:dyDescent="0.3">
      <c r="A144" t="s">
        <v>401</v>
      </c>
      <c r="B144" t="s">
        <v>402</v>
      </c>
      <c r="C144">
        <v>36</v>
      </c>
      <c r="D144" t="s">
        <v>21</v>
      </c>
      <c r="E144" t="s">
        <v>30</v>
      </c>
      <c r="F144" t="s">
        <v>35</v>
      </c>
      <c r="G144">
        <v>73947</v>
      </c>
      <c r="H144">
        <v>498609</v>
      </c>
      <c r="I144">
        <v>12</v>
      </c>
      <c r="J144">
        <v>30.51</v>
      </c>
      <c r="K144">
        <v>48733.13</v>
      </c>
      <c r="L144" t="s">
        <v>39</v>
      </c>
      <c r="M144" t="s">
        <v>54</v>
      </c>
      <c r="N144" s="12">
        <v>44886</v>
      </c>
      <c r="O144" t="s">
        <v>403</v>
      </c>
      <c r="P144">
        <v>491</v>
      </c>
      <c r="Q144">
        <v>657</v>
      </c>
      <c r="R144" t="s">
        <v>26</v>
      </c>
      <c r="S144">
        <v>0</v>
      </c>
      <c r="T144" s="10" t="s">
        <v>1269</v>
      </c>
      <c r="U144" s="23">
        <f>COUNTIF(Table1[Loan_Status],"Defaulted")/COUNTA(Table1[Loan_ID])</f>
        <v>0.248</v>
      </c>
    </row>
    <row r="145" spans="1:21" x14ac:dyDescent="0.3">
      <c r="A145" t="s">
        <v>404</v>
      </c>
      <c r="B145" t="s">
        <v>405</v>
      </c>
      <c r="C145">
        <v>39</v>
      </c>
      <c r="D145" t="s">
        <v>29</v>
      </c>
      <c r="E145" t="s">
        <v>30</v>
      </c>
      <c r="F145" t="s">
        <v>35</v>
      </c>
      <c r="G145">
        <v>118424</v>
      </c>
      <c r="H145">
        <v>434065</v>
      </c>
      <c r="I145">
        <v>12</v>
      </c>
      <c r="J145">
        <v>34.909999999999997</v>
      </c>
      <c r="K145">
        <v>43370.96</v>
      </c>
      <c r="L145" t="s">
        <v>39</v>
      </c>
      <c r="M145" t="s">
        <v>32</v>
      </c>
      <c r="N145" s="12">
        <v>44605</v>
      </c>
      <c r="Q145">
        <v>594</v>
      </c>
      <c r="R145" t="s">
        <v>26</v>
      </c>
      <c r="S145">
        <v>333674.27</v>
      </c>
      <c r="T145" s="10" t="s">
        <v>1263</v>
      </c>
      <c r="U145" s="23">
        <f>COUNTIF(Table1[Loan_Status],"Defaulted")/COUNTA(Table1[Loan_ID])</f>
        <v>0.248</v>
      </c>
    </row>
    <row r="146" spans="1:21" x14ac:dyDescent="0.3">
      <c r="A146" t="s">
        <v>406</v>
      </c>
      <c r="B146" t="s">
        <v>407</v>
      </c>
      <c r="C146">
        <v>43</v>
      </c>
      <c r="D146" t="s">
        <v>21</v>
      </c>
      <c r="E146" t="s">
        <v>42</v>
      </c>
      <c r="F146" t="s">
        <v>35</v>
      </c>
      <c r="G146">
        <v>71095</v>
      </c>
      <c r="H146">
        <v>110941</v>
      </c>
      <c r="I146">
        <v>24</v>
      </c>
      <c r="J146">
        <v>18.510000000000002</v>
      </c>
      <c r="K146">
        <v>5566.01</v>
      </c>
      <c r="L146" t="s">
        <v>24</v>
      </c>
      <c r="M146" t="s">
        <v>32</v>
      </c>
      <c r="N146" s="12">
        <v>44702</v>
      </c>
      <c r="Q146">
        <v>411</v>
      </c>
      <c r="R146" t="s">
        <v>26</v>
      </c>
      <c r="S146">
        <v>58906.78</v>
      </c>
      <c r="T146" s="10" t="s">
        <v>1272</v>
      </c>
      <c r="U146" s="23">
        <f>COUNTIF(Table1[Loan_Status],"Defaulted")/COUNTA(Table1[Loan_ID])</f>
        <v>0.248</v>
      </c>
    </row>
    <row r="147" spans="1:21" x14ac:dyDescent="0.3">
      <c r="A147" t="s">
        <v>408</v>
      </c>
      <c r="B147" t="s">
        <v>409</v>
      </c>
      <c r="C147">
        <v>36</v>
      </c>
      <c r="D147" t="s">
        <v>29</v>
      </c>
      <c r="E147" t="s">
        <v>30</v>
      </c>
      <c r="F147" t="s">
        <v>23</v>
      </c>
      <c r="G147">
        <v>76036</v>
      </c>
      <c r="H147">
        <v>32520</v>
      </c>
      <c r="I147">
        <v>3</v>
      </c>
      <c r="J147">
        <v>21.92</v>
      </c>
      <c r="K147">
        <v>11238.41</v>
      </c>
      <c r="L147" t="s">
        <v>31</v>
      </c>
      <c r="M147" t="s">
        <v>25</v>
      </c>
      <c r="N147" s="12">
        <v>45259</v>
      </c>
      <c r="Q147">
        <v>440</v>
      </c>
      <c r="R147" t="s">
        <v>26</v>
      </c>
      <c r="S147">
        <v>0</v>
      </c>
      <c r="T147" s="10" t="s">
        <v>1273</v>
      </c>
      <c r="U147" s="23">
        <f>COUNTIF(Table1[Loan_Status],"Defaulted")/COUNTA(Table1[Loan_ID])</f>
        <v>0.248</v>
      </c>
    </row>
    <row r="148" spans="1:21" x14ac:dyDescent="0.3">
      <c r="A148" t="s">
        <v>410</v>
      </c>
      <c r="B148" t="s">
        <v>411</v>
      </c>
      <c r="C148">
        <v>47</v>
      </c>
      <c r="D148" t="s">
        <v>21</v>
      </c>
      <c r="E148" t="s">
        <v>68</v>
      </c>
      <c r="F148" t="s">
        <v>23</v>
      </c>
      <c r="G148">
        <v>90299</v>
      </c>
      <c r="H148">
        <v>173384</v>
      </c>
      <c r="I148">
        <v>12</v>
      </c>
      <c r="J148">
        <v>27.5</v>
      </c>
      <c r="K148">
        <v>16690.21</v>
      </c>
      <c r="L148" t="s">
        <v>43</v>
      </c>
      <c r="M148" t="s">
        <v>44</v>
      </c>
      <c r="N148" s="12">
        <v>45109</v>
      </c>
      <c r="O148" t="s">
        <v>413</v>
      </c>
      <c r="P148">
        <v>19</v>
      </c>
      <c r="Q148">
        <v>479</v>
      </c>
      <c r="R148" t="s">
        <v>46</v>
      </c>
      <c r="S148">
        <v>0</v>
      </c>
      <c r="T148" s="10" t="s">
        <v>1265</v>
      </c>
      <c r="U148" s="23">
        <f>COUNTIF(Table1[Loan_Status],"Defaulted")/COUNTA(Table1[Loan_ID])</f>
        <v>0.248</v>
      </c>
    </row>
    <row r="149" spans="1:21" x14ac:dyDescent="0.3">
      <c r="A149" t="s">
        <v>414</v>
      </c>
      <c r="B149" t="s">
        <v>415</v>
      </c>
      <c r="C149">
        <v>23</v>
      </c>
      <c r="D149" t="s">
        <v>21</v>
      </c>
      <c r="E149" t="s">
        <v>68</v>
      </c>
      <c r="F149" t="s">
        <v>23</v>
      </c>
      <c r="G149">
        <v>90882</v>
      </c>
      <c r="H149">
        <v>464665</v>
      </c>
      <c r="I149">
        <v>3</v>
      </c>
      <c r="J149">
        <v>12.22</v>
      </c>
      <c r="K149">
        <v>158053.54999999999</v>
      </c>
      <c r="L149" t="s">
        <v>24</v>
      </c>
      <c r="M149" t="s">
        <v>25</v>
      </c>
      <c r="N149" s="12">
        <v>44905</v>
      </c>
      <c r="Q149">
        <v>591</v>
      </c>
      <c r="R149" t="s">
        <v>46</v>
      </c>
      <c r="S149">
        <v>0</v>
      </c>
      <c r="T149" s="10" t="s">
        <v>1280</v>
      </c>
      <c r="U149" s="23">
        <f>COUNTIF(Table1[Loan_Status],"Defaulted")/COUNTA(Table1[Loan_ID])</f>
        <v>0.248</v>
      </c>
    </row>
    <row r="150" spans="1:21" x14ac:dyDescent="0.3">
      <c r="A150" t="s">
        <v>416</v>
      </c>
      <c r="B150" t="s">
        <v>417</v>
      </c>
      <c r="C150">
        <v>54</v>
      </c>
      <c r="D150" t="s">
        <v>21</v>
      </c>
      <c r="E150" t="s">
        <v>22</v>
      </c>
      <c r="F150" t="s">
        <v>35</v>
      </c>
      <c r="G150">
        <v>86522</v>
      </c>
      <c r="H150">
        <v>106088</v>
      </c>
      <c r="I150">
        <v>3</v>
      </c>
      <c r="J150">
        <v>19.940000000000001</v>
      </c>
      <c r="K150">
        <v>36544.339999999997</v>
      </c>
      <c r="L150" t="s">
        <v>31</v>
      </c>
      <c r="M150" t="s">
        <v>32</v>
      </c>
      <c r="N150" s="12">
        <v>44752</v>
      </c>
      <c r="Q150">
        <v>314</v>
      </c>
      <c r="R150" t="s">
        <v>26</v>
      </c>
      <c r="S150">
        <v>65311.22</v>
      </c>
      <c r="T150" s="10" t="s">
        <v>1281</v>
      </c>
      <c r="U150" s="23">
        <f>COUNTIF(Table1[Loan_Status],"Defaulted")/COUNTA(Table1[Loan_ID])</f>
        <v>0.248</v>
      </c>
    </row>
    <row r="151" spans="1:21" x14ac:dyDescent="0.3">
      <c r="A151" t="s">
        <v>418</v>
      </c>
      <c r="B151" t="s">
        <v>419</v>
      </c>
      <c r="C151">
        <v>33</v>
      </c>
      <c r="D151" t="s">
        <v>29</v>
      </c>
      <c r="E151" t="s">
        <v>30</v>
      </c>
      <c r="F151" t="s">
        <v>35</v>
      </c>
      <c r="G151">
        <v>127119</v>
      </c>
      <c r="H151">
        <v>275155</v>
      </c>
      <c r="I151">
        <v>12</v>
      </c>
      <c r="J151">
        <v>14.08</v>
      </c>
      <c r="K151">
        <v>24715.73</v>
      </c>
      <c r="L151" t="s">
        <v>43</v>
      </c>
      <c r="M151" t="s">
        <v>44</v>
      </c>
      <c r="N151" s="12">
        <v>44705</v>
      </c>
      <c r="O151" t="s">
        <v>420</v>
      </c>
      <c r="P151">
        <v>488</v>
      </c>
      <c r="Q151">
        <v>631</v>
      </c>
      <c r="R151" t="s">
        <v>46</v>
      </c>
      <c r="S151">
        <v>0</v>
      </c>
      <c r="T151" s="10" t="s">
        <v>1272</v>
      </c>
      <c r="U151" s="23">
        <f>COUNTIF(Table1[Loan_Status],"Defaulted")/COUNTA(Table1[Loan_ID])</f>
        <v>0.248</v>
      </c>
    </row>
    <row r="152" spans="1:21" x14ac:dyDescent="0.3">
      <c r="A152" t="s">
        <v>421</v>
      </c>
      <c r="B152" t="s">
        <v>422</v>
      </c>
      <c r="C152">
        <v>37</v>
      </c>
      <c r="D152" t="s">
        <v>21</v>
      </c>
      <c r="E152" t="s">
        <v>22</v>
      </c>
      <c r="F152" t="s">
        <v>35</v>
      </c>
      <c r="G152">
        <v>84990</v>
      </c>
      <c r="H152">
        <v>177818</v>
      </c>
      <c r="I152">
        <v>12</v>
      </c>
      <c r="J152">
        <v>25.98</v>
      </c>
      <c r="K152">
        <v>16985.25</v>
      </c>
      <c r="L152" t="s">
        <v>24</v>
      </c>
      <c r="M152" t="s">
        <v>25</v>
      </c>
      <c r="N152" s="12">
        <v>44829</v>
      </c>
      <c r="Q152">
        <v>668</v>
      </c>
      <c r="R152" t="s">
        <v>46</v>
      </c>
      <c r="S152">
        <v>0</v>
      </c>
      <c r="T152" s="10" t="s">
        <v>1270</v>
      </c>
      <c r="U152" s="23">
        <f>COUNTIF(Table1[Loan_Status],"Defaulted")/COUNTA(Table1[Loan_ID])</f>
        <v>0.248</v>
      </c>
    </row>
    <row r="153" spans="1:21" x14ac:dyDescent="0.3">
      <c r="A153" t="s">
        <v>423</v>
      </c>
      <c r="B153" t="s">
        <v>424</v>
      </c>
      <c r="C153">
        <v>28</v>
      </c>
      <c r="D153" t="s">
        <v>21</v>
      </c>
      <c r="E153" t="s">
        <v>42</v>
      </c>
      <c r="F153" t="s">
        <v>23</v>
      </c>
      <c r="G153">
        <v>121277</v>
      </c>
      <c r="H153">
        <v>364700</v>
      </c>
      <c r="I153">
        <v>24</v>
      </c>
      <c r="J153">
        <v>34.15</v>
      </c>
      <c r="K153">
        <v>21178.54</v>
      </c>
      <c r="L153" t="s">
        <v>36</v>
      </c>
      <c r="M153" t="s">
        <v>25</v>
      </c>
      <c r="N153" s="12">
        <v>45216</v>
      </c>
      <c r="Q153">
        <v>602</v>
      </c>
      <c r="R153" t="s">
        <v>46</v>
      </c>
      <c r="S153">
        <v>0</v>
      </c>
      <c r="T153" s="10" t="s">
        <v>1279</v>
      </c>
      <c r="U153" s="23">
        <f>COUNTIF(Table1[Loan_Status],"Defaulted")/COUNTA(Table1[Loan_ID])</f>
        <v>0.248</v>
      </c>
    </row>
    <row r="154" spans="1:21" x14ac:dyDescent="0.3">
      <c r="A154" t="s">
        <v>425</v>
      </c>
      <c r="B154" t="s">
        <v>426</v>
      </c>
      <c r="C154">
        <v>35</v>
      </c>
      <c r="D154" t="s">
        <v>29</v>
      </c>
      <c r="E154" t="s">
        <v>68</v>
      </c>
      <c r="F154" t="s">
        <v>23</v>
      </c>
      <c r="G154">
        <v>134269</v>
      </c>
      <c r="H154">
        <v>397028</v>
      </c>
      <c r="I154">
        <v>24</v>
      </c>
      <c r="J154">
        <v>20.97</v>
      </c>
      <c r="K154">
        <v>20395.689999999999</v>
      </c>
      <c r="L154" t="s">
        <v>24</v>
      </c>
      <c r="M154" t="s">
        <v>54</v>
      </c>
      <c r="N154" s="12">
        <v>45112</v>
      </c>
      <c r="O154" t="s">
        <v>428</v>
      </c>
      <c r="P154">
        <v>340</v>
      </c>
      <c r="Q154">
        <v>523</v>
      </c>
      <c r="R154" t="s">
        <v>26</v>
      </c>
      <c r="S154">
        <v>0</v>
      </c>
      <c r="T154" s="10" t="s">
        <v>1265</v>
      </c>
      <c r="U154" s="23">
        <f>COUNTIF(Table1[Loan_Status],"Defaulted")/COUNTA(Table1[Loan_ID])</f>
        <v>0.248</v>
      </c>
    </row>
    <row r="155" spans="1:21" x14ac:dyDescent="0.3">
      <c r="A155" t="s">
        <v>429</v>
      </c>
      <c r="B155" t="s">
        <v>430</v>
      </c>
      <c r="C155">
        <v>26</v>
      </c>
      <c r="D155" t="s">
        <v>21</v>
      </c>
      <c r="E155" t="s">
        <v>30</v>
      </c>
      <c r="F155" t="s">
        <v>35</v>
      </c>
      <c r="G155">
        <v>35474</v>
      </c>
      <c r="H155">
        <v>485900</v>
      </c>
      <c r="I155">
        <v>24</v>
      </c>
      <c r="J155">
        <v>14.69</v>
      </c>
      <c r="K155">
        <v>23488.16</v>
      </c>
      <c r="L155" t="s">
        <v>24</v>
      </c>
      <c r="M155" t="s">
        <v>44</v>
      </c>
      <c r="N155" s="12">
        <v>45148</v>
      </c>
      <c r="O155" t="s">
        <v>431</v>
      </c>
      <c r="P155">
        <v>274</v>
      </c>
      <c r="Q155">
        <v>453</v>
      </c>
      <c r="R155" t="s">
        <v>46</v>
      </c>
      <c r="S155">
        <v>0</v>
      </c>
      <c r="T155" s="10" t="s">
        <v>1261</v>
      </c>
      <c r="U155" s="23">
        <f>COUNTIF(Table1[Loan_Status],"Defaulted")/COUNTA(Table1[Loan_ID])</f>
        <v>0.248</v>
      </c>
    </row>
    <row r="156" spans="1:21" x14ac:dyDescent="0.3">
      <c r="A156" t="s">
        <v>432</v>
      </c>
      <c r="B156" t="s">
        <v>433</v>
      </c>
      <c r="C156">
        <v>49</v>
      </c>
      <c r="D156" t="s">
        <v>29</v>
      </c>
      <c r="E156" t="s">
        <v>22</v>
      </c>
      <c r="F156" t="s">
        <v>35</v>
      </c>
      <c r="G156">
        <v>38839</v>
      </c>
      <c r="H156">
        <v>476276</v>
      </c>
      <c r="I156">
        <v>24</v>
      </c>
      <c r="J156">
        <v>22.69</v>
      </c>
      <c r="K156">
        <v>24870.91</v>
      </c>
      <c r="L156" t="s">
        <v>43</v>
      </c>
      <c r="M156" t="s">
        <v>54</v>
      </c>
      <c r="N156" s="12">
        <v>44697</v>
      </c>
      <c r="O156" t="s">
        <v>434</v>
      </c>
      <c r="P156">
        <v>525</v>
      </c>
      <c r="Q156">
        <v>725</v>
      </c>
      <c r="R156" t="s">
        <v>26</v>
      </c>
      <c r="S156">
        <v>0</v>
      </c>
      <c r="T156" s="10" t="s">
        <v>1272</v>
      </c>
      <c r="U156" s="23">
        <f>COUNTIF(Table1[Loan_Status],"Defaulted")/COUNTA(Table1[Loan_ID])</f>
        <v>0.248</v>
      </c>
    </row>
    <row r="157" spans="1:21" x14ac:dyDescent="0.3">
      <c r="A157" t="s">
        <v>435</v>
      </c>
      <c r="B157" t="s">
        <v>436</v>
      </c>
      <c r="C157">
        <v>24</v>
      </c>
      <c r="D157" t="s">
        <v>21</v>
      </c>
      <c r="E157" t="s">
        <v>42</v>
      </c>
      <c r="F157" t="s">
        <v>23</v>
      </c>
      <c r="G157">
        <v>118795</v>
      </c>
      <c r="H157">
        <v>138408</v>
      </c>
      <c r="I157">
        <v>3</v>
      </c>
      <c r="J157">
        <v>29.9</v>
      </c>
      <c r="K157">
        <v>48453.97</v>
      </c>
      <c r="L157" t="s">
        <v>24</v>
      </c>
      <c r="M157" t="s">
        <v>25</v>
      </c>
      <c r="N157" s="12">
        <v>44608</v>
      </c>
      <c r="Q157">
        <v>733</v>
      </c>
      <c r="R157" t="s">
        <v>46</v>
      </c>
      <c r="S157">
        <v>0</v>
      </c>
      <c r="T157" s="10" t="s">
        <v>1263</v>
      </c>
      <c r="U157" s="23">
        <f>COUNTIF(Table1[Loan_Status],"Defaulted")/COUNTA(Table1[Loan_ID])</f>
        <v>0.248</v>
      </c>
    </row>
    <row r="158" spans="1:21" x14ac:dyDescent="0.3">
      <c r="A158" t="s">
        <v>437</v>
      </c>
      <c r="B158" t="s">
        <v>438</v>
      </c>
      <c r="C158">
        <v>55</v>
      </c>
      <c r="D158" t="s">
        <v>29</v>
      </c>
      <c r="E158" t="s">
        <v>49</v>
      </c>
      <c r="F158" t="s">
        <v>35</v>
      </c>
      <c r="G158">
        <v>23319</v>
      </c>
      <c r="H158">
        <v>155518</v>
      </c>
      <c r="I158">
        <v>18</v>
      </c>
      <c r="J158">
        <v>16.32</v>
      </c>
      <c r="K158">
        <v>9798.84</v>
      </c>
      <c r="L158" t="s">
        <v>39</v>
      </c>
      <c r="M158" t="s">
        <v>54</v>
      </c>
      <c r="N158" s="12">
        <v>44945</v>
      </c>
      <c r="O158" t="s">
        <v>439</v>
      </c>
      <c r="P158">
        <v>391</v>
      </c>
      <c r="Q158">
        <v>759</v>
      </c>
      <c r="R158" t="s">
        <v>26</v>
      </c>
      <c r="S158">
        <v>0</v>
      </c>
      <c r="T158" s="10" t="s">
        <v>1266</v>
      </c>
      <c r="U158" s="23">
        <f>COUNTIF(Table1[Loan_Status],"Defaulted")/COUNTA(Table1[Loan_ID])</f>
        <v>0.248</v>
      </c>
    </row>
    <row r="159" spans="1:21" x14ac:dyDescent="0.3">
      <c r="A159" t="s">
        <v>440</v>
      </c>
      <c r="B159" t="s">
        <v>441</v>
      </c>
      <c r="C159">
        <v>45</v>
      </c>
      <c r="D159" t="s">
        <v>29</v>
      </c>
      <c r="E159" t="s">
        <v>30</v>
      </c>
      <c r="F159" t="s">
        <v>23</v>
      </c>
      <c r="G159">
        <v>106165</v>
      </c>
      <c r="H159">
        <v>67197</v>
      </c>
      <c r="I159">
        <v>6</v>
      </c>
      <c r="J159">
        <v>35.83</v>
      </c>
      <c r="K159">
        <v>12398.57</v>
      </c>
      <c r="L159" t="s">
        <v>31</v>
      </c>
      <c r="M159" t="s">
        <v>44</v>
      </c>
      <c r="N159" s="12">
        <v>44790</v>
      </c>
      <c r="O159" t="s">
        <v>442</v>
      </c>
      <c r="P159">
        <v>3</v>
      </c>
      <c r="Q159">
        <v>323</v>
      </c>
      <c r="R159" t="s">
        <v>46</v>
      </c>
      <c r="S159">
        <v>0</v>
      </c>
      <c r="T159" s="10" t="s">
        <v>1275</v>
      </c>
      <c r="U159" s="23">
        <f>COUNTIF(Table1[Loan_Status],"Defaulted")/COUNTA(Table1[Loan_ID])</f>
        <v>0.248</v>
      </c>
    </row>
    <row r="160" spans="1:21" x14ac:dyDescent="0.3">
      <c r="A160" t="s">
        <v>443</v>
      </c>
      <c r="B160" t="s">
        <v>444</v>
      </c>
      <c r="C160">
        <v>55</v>
      </c>
      <c r="D160" t="s">
        <v>21</v>
      </c>
      <c r="E160" t="s">
        <v>30</v>
      </c>
      <c r="F160" t="s">
        <v>35</v>
      </c>
      <c r="G160">
        <v>75205</v>
      </c>
      <c r="H160">
        <v>134767</v>
      </c>
      <c r="I160">
        <v>18</v>
      </c>
      <c r="J160">
        <v>20.309999999999999</v>
      </c>
      <c r="K160">
        <v>8748.0400000000009</v>
      </c>
      <c r="L160" t="s">
        <v>36</v>
      </c>
      <c r="M160" t="s">
        <v>44</v>
      </c>
      <c r="N160" s="12">
        <v>44677</v>
      </c>
      <c r="O160" t="s">
        <v>214</v>
      </c>
      <c r="P160">
        <v>32</v>
      </c>
      <c r="Q160">
        <v>729</v>
      </c>
      <c r="R160" t="s">
        <v>46</v>
      </c>
      <c r="S160">
        <v>0</v>
      </c>
      <c r="T160" s="10" t="s">
        <v>1274</v>
      </c>
      <c r="U160" s="23">
        <f>COUNTIF(Table1[Loan_Status],"Defaulted")/COUNTA(Table1[Loan_ID])</f>
        <v>0.248</v>
      </c>
    </row>
    <row r="161" spans="1:21" x14ac:dyDescent="0.3">
      <c r="A161" t="s">
        <v>445</v>
      </c>
      <c r="B161" t="s">
        <v>446</v>
      </c>
      <c r="C161">
        <v>36</v>
      </c>
      <c r="D161" t="s">
        <v>29</v>
      </c>
      <c r="E161" t="s">
        <v>49</v>
      </c>
      <c r="F161" t="s">
        <v>23</v>
      </c>
      <c r="G161">
        <v>23801</v>
      </c>
      <c r="H161">
        <v>239063</v>
      </c>
      <c r="I161">
        <v>24</v>
      </c>
      <c r="J161">
        <v>28.13</v>
      </c>
      <c r="K161">
        <v>13137.65</v>
      </c>
      <c r="L161" t="s">
        <v>43</v>
      </c>
      <c r="M161" t="s">
        <v>44</v>
      </c>
      <c r="N161" s="12">
        <v>44607</v>
      </c>
      <c r="O161" t="s">
        <v>447</v>
      </c>
      <c r="P161">
        <v>411</v>
      </c>
      <c r="Q161">
        <v>749</v>
      </c>
      <c r="R161" t="s">
        <v>46</v>
      </c>
      <c r="S161">
        <v>0</v>
      </c>
      <c r="T161" s="10" t="s">
        <v>1263</v>
      </c>
      <c r="U161" s="23">
        <f>COUNTIF(Table1[Loan_Status],"Defaulted")/COUNTA(Table1[Loan_ID])</f>
        <v>0.248</v>
      </c>
    </row>
    <row r="162" spans="1:21" x14ac:dyDescent="0.3">
      <c r="A162" t="s">
        <v>448</v>
      </c>
      <c r="B162" t="s">
        <v>247</v>
      </c>
      <c r="C162">
        <v>24</v>
      </c>
      <c r="D162" t="s">
        <v>29</v>
      </c>
      <c r="E162" t="s">
        <v>30</v>
      </c>
      <c r="F162" t="s">
        <v>35</v>
      </c>
      <c r="G162">
        <v>76384</v>
      </c>
      <c r="H162">
        <v>432706</v>
      </c>
      <c r="I162">
        <v>24</v>
      </c>
      <c r="J162">
        <v>19.649999999999999</v>
      </c>
      <c r="K162">
        <v>21949.01</v>
      </c>
      <c r="L162" t="s">
        <v>24</v>
      </c>
      <c r="M162" t="s">
        <v>32</v>
      </c>
      <c r="N162" s="12">
        <v>44804</v>
      </c>
      <c r="Q162">
        <v>609</v>
      </c>
      <c r="R162" t="s">
        <v>26</v>
      </c>
      <c r="S162">
        <v>308684.15999999997</v>
      </c>
      <c r="T162" s="10" t="s">
        <v>1275</v>
      </c>
      <c r="U162" s="23">
        <f>COUNTIF(Table1[Loan_Status],"Defaulted")/COUNTA(Table1[Loan_ID])</f>
        <v>0.248</v>
      </c>
    </row>
    <row r="163" spans="1:21" x14ac:dyDescent="0.3">
      <c r="A163" t="s">
        <v>449</v>
      </c>
      <c r="B163" t="s">
        <v>450</v>
      </c>
      <c r="C163">
        <v>35</v>
      </c>
      <c r="D163" t="s">
        <v>21</v>
      </c>
      <c r="E163" t="s">
        <v>42</v>
      </c>
      <c r="F163" t="s">
        <v>35</v>
      </c>
      <c r="G163">
        <v>30979</v>
      </c>
      <c r="H163">
        <v>296880</v>
      </c>
      <c r="I163">
        <v>24</v>
      </c>
      <c r="J163">
        <v>33.11</v>
      </c>
      <c r="K163">
        <v>17078.349999999999</v>
      </c>
      <c r="L163" t="s">
        <v>39</v>
      </c>
      <c r="M163" t="s">
        <v>54</v>
      </c>
      <c r="N163" s="12">
        <v>45131</v>
      </c>
      <c r="O163" t="s">
        <v>451</v>
      </c>
      <c r="P163">
        <v>253</v>
      </c>
      <c r="Q163">
        <v>348</v>
      </c>
      <c r="R163" t="s">
        <v>26</v>
      </c>
      <c r="S163">
        <v>0</v>
      </c>
      <c r="T163" s="10" t="s">
        <v>1265</v>
      </c>
      <c r="U163" s="23">
        <f>COUNTIF(Table1[Loan_Status],"Defaulted")/COUNTA(Table1[Loan_ID])</f>
        <v>0.248</v>
      </c>
    </row>
    <row r="164" spans="1:21" x14ac:dyDescent="0.3">
      <c r="A164" t="s">
        <v>452</v>
      </c>
      <c r="B164" t="s">
        <v>453</v>
      </c>
      <c r="C164">
        <v>45</v>
      </c>
      <c r="D164" t="s">
        <v>21</v>
      </c>
      <c r="E164" t="s">
        <v>68</v>
      </c>
      <c r="F164" t="s">
        <v>35</v>
      </c>
      <c r="G164">
        <v>54116</v>
      </c>
      <c r="H164">
        <v>162227</v>
      </c>
      <c r="I164">
        <v>18</v>
      </c>
      <c r="J164">
        <v>16.41</v>
      </c>
      <c r="K164">
        <v>10228.48</v>
      </c>
      <c r="L164" t="s">
        <v>24</v>
      </c>
      <c r="M164" t="s">
        <v>54</v>
      </c>
      <c r="N164" s="12">
        <v>44808</v>
      </c>
      <c r="O164" t="s">
        <v>147</v>
      </c>
      <c r="P164">
        <v>230</v>
      </c>
      <c r="Q164">
        <v>607</v>
      </c>
      <c r="R164" t="s">
        <v>26</v>
      </c>
      <c r="S164">
        <v>0</v>
      </c>
      <c r="T164" s="10" t="s">
        <v>1270</v>
      </c>
      <c r="U164" s="23">
        <f>COUNTIF(Table1[Loan_Status],"Defaulted")/COUNTA(Table1[Loan_ID])</f>
        <v>0.248</v>
      </c>
    </row>
    <row r="165" spans="1:21" x14ac:dyDescent="0.3">
      <c r="A165" t="s">
        <v>454</v>
      </c>
      <c r="B165" t="s">
        <v>455</v>
      </c>
      <c r="C165">
        <v>50</v>
      </c>
      <c r="D165" t="s">
        <v>29</v>
      </c>
      <c r="E165" t="s">
        <v>30</v>
      </c>
      <c r="F165" t="s">
        <v>35</v>
      </c>
      <c r="G165">
        <v>124185</v>
      </c>
      <c r="H165">
        <v>297178</v>
      </c>
      <c r="I165">
        <v>24</v>
      </c>
      <c r="J165">
        <v>15.22</v>
      </c>
      <c r="K165">
        <v>14440.25</v>
      </c>
      <c r="L165" t="s">
        <v>39</v>
      </c>
      <c r="M165" t="s">
        <v>32</v>
      </c>
      <c r="N165" s="12">
        <v>44770</v>
      </c>
      <c r="Q165">
        <v>638</v>
      </c>
      <c r="R165" t="s">
        <v>26</v>
      </c>
      <c r="S165">
        <v>164248.53</v>
      </c>
      <c r="T165" s="10" t="s">
        <v>1281</v>
      </c>
      <c r="U165" s="23">
        <f>COUNTIF(Table1[Loan_Status],"Defaulted")/COUNTA(Table1[Loan_ID])</f>
        <v>0.248</v>
      </c>
    </row>
    <row r="166" spans="1:21" x14ac:dyDescent="0.3">
      <c r="A166" t="s">
        <v>456</v>
      </c>
      <c r="B166" t="s">
        <v>457</v>
      </c>
      <c r="C166">
        <v>44</v>
      </c>
      <c r="D166" t="s">
        <v>29</v>
      </c>
      <c r="E166" t="s">
        <v>30</v>
      </c>
      <c r="F166" t="s">
        <v>23</v>
      </c>
      <c r="G166">
        <v>28510</v>
      </c>
      <c r="H166">
        <v>145751</v>
      </c>
      <c r="I166">
        <v>18</v>
      </c>
      <c r="J166">
        <v>28.17</v>
      </c>
      <c r="K166">
        <v>10021.450000000001</v>
      </c>
      <c r="L166" t="s">
        <v>24</v>
      </c>
      <c r="M166" t="s">
        <v>25</v>
      </c>
      <c r="N166" s="12">
        <v>44636</v>
      </c>
      <c r="Q166">
        <v>492</v>
      </c>
      <c r="R166" t="s">
        <v>46</v>
      </c>
      <c r="S166">
        <v>0</v>
      </c>
      <c r="T166" s="10" t="s">
        <v>1264</v>
      </c>
      <c r="U166" s="23">
        <f>COUNTIF(Table1[Loan_Status],"Defaulted")/COUNTA(Table1[Loan_ID])</f>
        <v>0.248</v>
      </c>
    </row>
    <row r="167" spans="1:21" x14ac:dyDescent="0.3">
      <c r="A167" t="s">
        <v>458</v>
      </c>
      <c r="B167" t="s">
        <v>459</v>
      </c>
      <c r="C167">
        <v>51</v>
      </c>
      <c r="D167" t="s">
        <v>29</v>
      </c>
      <c r="E167" t="s">
        <v>42</v>
      </c>
      <c r="F167" t="s">
        <v>35</v>
      </c>
      <c r="G167">
        <v>19019</v>
      </c>
      <c r="H167">
        <v>116048</v>
      </c>
      <c r="I167">
        <v>6</v>
      </c>
      <c r="J167">
        <v>35.090000000000003</v>
      </c>
      <c r="K167">
        <v>21368.36</v>
      </c>
      <c r="L167" t="s">
        <v>43</v>
      </c>
      <c r="M167" t="s">
        <v>54</v>
      </c>
      <c r="N167" s="12">
        <v>44810</v>
      </c>
      <c r="O167" t="s">
        <v>196</v>
      </c>
      <c r="P167">
        <v>618</v>
      </c>
      <c r="Q167">
        <v>509</v>
      </c>
      <c r="R167" t="s">
        <v>26</v>
      </c>
      <c r="S167">
        <v>0</v>
      </c>
      <c r="T167" s="10" t="s">
        <v>1270</v>
      </c>
      <c r="U167" s="23">
        <f>COUNTIF(Table1[Loan_Status],"Defaulted")/COUNTA(Table1[Loan_ID])</f>
        <v>0.248</v>
      </c>
    </row>
    <row r="168" spans="1:21" x14ac:dyDescent="0.3">
      <c r="A168" t="s">
        <v>460</v>
      </c>
      <c r="B168" t="s">
        <v>461</v>
      </c>
      <c r="C168">
        <v>36</v>
      </c>
      <c r="D168" t="s">
        <v>21</v>
      </c>
      <c r="E168" t="s">
        <v>42</v>
      </c>
      <c r="F168" t="s">
        <v>35</v>
      </c>
      <c r="G168">
        <v>137224</v>
      </c>
      <c r="H168">
        <v>284786</v>
      </c>
      <c r="I168">
        <v>12</v>
      </c>
      <c r="J168">
        <v>19.399999999999999</v>
      </c>
      <c r="K168">
        <v>26299.3</v>
      </c>
      <c r="L168" t="s">
        <v>36</v>
      </c>
      <c r="M168" t="s">
        <v>54</v>
      </c>
      <c r="N168" s="12">
        <v>45039</v>
      </c>
      <c r="O168" t="s">
        <v>339</v>
      </c>
      <c r="P168">
        <v>50</v>
      </c>
      <c r="Q168">
        <v>780</v>
      </c>
      <c r="R168" t="s">
        <v>26</v>
      </c>
      <c r="S168">
        <v>0</v>
      </c>
      <c r="T168" s="10" t="s">
        <v>1278</v>
      </c>
      <c r="U168" s="23">
        <f>COUNTIF(Table1[Loan_Status],"Defaulted")/COUNTA(Table1[Loan_ID])</f>
        <v>0.248</v>
      </c>
    </row>
    <row r="169" spans="1:21" x14ac:dyDescent="0.3">
      <c r="A169" t="s">
        <v>462</v>
      </c>
      <c r="B169" t="s">
        <v>463</v>
      </c>
      <c r="C169">
        <v>34</v>
      </c>
      <c r="D169" t="s">
        <v>21</v>
      </c>
      <c r="E169" t="s">
        <v>42</v>
      </c>
      <c r="F169" t="s">
        <v>35</v>
      </c>
      <c r="G169">
        <v>26984</v>
      </c>
      <c r="H169">
        <v>299924</v>
      </c>
      <c r="I169">
        <v>6</v>
      </c>
      <c r="J169">
        <v>29.79</v>
      </c>
      <c r="K169">
        <v>54419.33</v>
      </c>
      <c r="L169" t="s">
        <v>43</v>
      </c>
      <c r="M169" t="s">
        <v>32</v>
      </c>
      <c r="N169" s="12">
        <v>45128</v>
      </c>
      <c r="Q169">
        <v>727</v>
      </c>
      <c r="R169" t="s">
        <v>26</v>
      </c>
      <c r="S169">
        <v>91967.08</v>
      </c>
      <c r="T169" s="10" t="s">
        <v>1265</v>
      </c>
      <c r="U169" s="23">
        <f>COUNTIF(Table1[Loan_Status],"Defaulted")/COUNTA(Table1[Loan_ID])</f>
        <v>0.248</v>
      </c>
    </row>
    <row r="170" spans="1:21" x14ac:dyDescent="0.3">
      <c r="A170" t="s">
        <v>464</v>
      </c>
      <c r="B170" t="s">
        <v>465</v>
      </c>
      <c r="C170">
        <v>42</v>
      </c>
      <c r="D170" t="s">
        <v>29</v>
      </c>
      <c r="E170" t="s">
        <v>68</v>
      </c>
      <c r="F170" t="s">
        <v>23</v>
      </c>
      <c r="G170">
        <v>145888</v>
      </c>
      <c r="H170">
        <v>293695</v>
      </c>
      <c r="I170">
        <v>12</v>
      </c>
      <c r="J170">
        <v>18.18</v>
      </c>
      <c r="K170">
        <v>26951.119999999999</v>
      </c>
      <c r="L170" t="s">
        <v>31</v>
      </c>
      <c r="M170" t="s">
        <v>54</v>
      </c>
      <c r="N170" s="12">
        <v>45033</v>
      </c>
      <c r="O170" t="s">
        <v>467</v>
      </c>
      <c r="P170">
        <v>86</v>
      </c>
      <c r="Q170">
        <v>660</v>
      </c>
      <c r="R170" t="s">
        <v>26</v>
      </c>
      <c r="S170">
        <v>0</v>
      </c>
      <c r="T170" s="10" t="s">
        <v>1278</v>
      </c>
      <c r="U170" s="23">
        <f>COUNTIF(Table1[Loan_Status],"Defaulted")/COUNTA(Table1[Loan_ID])</f>
        <v>0.248</v>
      </c>
    </row>
    <row r="171" spans="1:21" x14ac:dyDescent="0.3">
      <c r="A171" t="s">
        <v>468</v>
      </c>
      <c r="B171" t="s">
        <v>469</v>
      </c>
      <c r="C171">
        <v>29</v>
      </c>
      <c r="D171" t="s">
        <v>21</v>
      </c>
      <c r="E171" t="s">
        <v>22</v>
      </c>
      <c r="F171" t="s">
        <v>23</v>
      </c>
      <c r="G171">
        <v>23866</v>
      </c>
      <c r="H171">
        <v>444913</v>
      </c>
      <c r="I171">
        <v>3</v>
      </c>
      <c r="J171">
        <v>34.68</v>
      </c>
      <c r="K171">
        <v>156957.72</v>
      </c>
      <c r="L171" t="s">
        <v>43</v>
      </c>
      <c r="M171" t="s">
        <v>25</v>
      </c>
      <c r="N171" s="12">
        <v>44984</v>
      </c>
      <c r="Q171">
        <v>440</v>
      </c>
      <c r="R171" t="s">
        <v>46</v>
      </c>
      <c r="S171">
        <v>0</v>
      </c>
      <c r="T171" s="10" t="s">
        <v>1277</v>
      </c>
      <c r="U171" s="23">
        <f>COUNTIF(Table1[Loan_Status],"Defaulted")/COUNTA(Table1[Loan_ID])</f>
        <v>0.248</v>
      </c>
    </row>
    <row r="172" spans="1:21" x14ac:dyDescent="0.3">
      <c r="A172" t="s">
        <v>471</v>
      </c>
      <c r="B172" t="s">
        <v>472</v>
      </c>
      <c r="C172">
        <v>25</v>
      </c>
      <c r="D172" t="s">
        <v>29</v>
      </c>
      <c r="E172" t="s">
        <v>49</v>
      </c>
      <c r="F172" t="s">
        <v>23</v>
      </c>
      <c r="G172">
        <v>147574</v>
      </c>
      <c r="H172">
        <v>244080</v>
      </c>
      <c r="I172">
        <v>12</v>
      </c>
      <c r="J172">
        <v>13.45</v>
      </c>
      <c r="K172">
        <v>21852.13</v>
      </c>
      <c r="L172" t="s">
        <v>24</v>
      </c>
      <c r="M172" t="s">
        <v>54</v>
      </c>
      <c r="N172" s="12">
        <v>45237</v>
      </c>
      <c r="O172" t="s">
        <v>473</v>
      </c>
      <c r="P172">
        <v>124</v>
      </c>
      <c r="Q172">
        <v>316</v>
      </c>
      <c r="R172" t="s">
        <v>26</v>
      </c>
      <c r="S172">
        <v>0</v>
      </c>
      <c r="T172" s="10" t="s">
        <v>1273</v>
      </c>
      <c r="U172" s="23">
        <f>COUNTIF(Table1[Loan_Status],"Defaulted")/COUNTA(Table1[Loan_ID])</f>
        <v>0.248</v>
      </c>
    </row>
    <row r="173" spans="1:21" x14ac:dyDescent="0.3">
      <c r="A173" t="s">
        <v>474</v>
      </c>
      <c r="B173" t="s">
        <v>475</v>
      </c>
      <c r="C173">
        <v>55</v>
      </c>
      <c r="D173" t="s">
        <v>21</v>
      </c>
      <c r="E173" t="s">
        <v>49</v>
      </c>
      <c r="F173" t="s">
        <v>23</v>
      </c>
      <c r="G173">
        <v>87021</v>
      </c>
      <c r="H173">
        <v>285881</v>
      </c>
      <c r="I173">
        <v>12</v>
      </c>
      <c r="J173">
        <v>12.41</v>
      </c>
      <c r="K173">
        <v>25455.05</v>
      </c>
      <c r="L173" t="s">
        <v>31</v>
      </c>
      <c r="M173" t="s">
        <v>44</v>
      </c>
      <c r="N173" s="12">
        <v>44671</v>
      </c>
      <c r="O173" t="s">
        <v>476</v>
      </c>
      <c r="P173">
        <v>98</v>
      </c>
      <c r="Q173">
        <v>836</v>
      </c>
      <c r="R173" t="s">
        <v>26</v>
      </c>
      <c r="S173">
        <v>0</v>
      </c>
      <c r="T173" s="10" t="s">
        <v>1274</v>
      </c>
      <c r="U173" s="23">
        <f>COUNTIF(Table1[Loan_Status],"Defaulted")/COUNTA(Table1[Loan_ID])</f>
        <v>0.248</v>
      </c>
    </row>
    <row r="174" spans="1:21" x14ac:dyDescent="0.3">
      <c r="A174" t="s">
        <v>477</v>
      </c>
      <c r="B174" t="s">
        <v>478</v>
      </c>
      <c r="C174">
        <v>54</v>
      </c>
      <c r="D174" t="s">
        <v>21</v>
      </c>
      <c r="E174" t="s">
        <v>42</v>
      </c>
      <c r="F174" t="s">
        <v>35</v>
      </c>
      <c r="G174">
        <v>119044</v>
      </c>
      <c r="H174">
        <v>46428</v>
      </c>
      <c r="I174">
        <v>12</v>
      </c>
      <c r="J174">
        <v>35.020000000000003</v>
      </c>
      <c r="K174">
        <v>4641.54</v>
      </c>
      <c r="L174" t="s">
        <v>31</v>
      </c>
      <c r="M174" t="s">
        <v>44</v>
      </c>
      <c r="N174" s="12">
        <v>45275</v>
      </c>
      <c r="O174" t="s">
        <v>163</v>
      </c>
      <c r="P174">
        <v>57</v>
      </c>
      <c r="Q174">
        <v>607</v>
      </c>
      <c r="R174" t="s">
        <v>46</v>
      </c>
      <c r="S174">
        <v>0</v>
      </c>
      <c r="T174" s="10" t="s">
        <v>1282</v>
      </c>
      <c r="U174" s="23">
        <f>COUNTIF(Table1[Loan_Status],"Defaulted")/COUNTA(Table1[Loan_ID])</f>
        <v>0.248</v>
      </c>
    </row>
    <row r="175" spans="1:21" x14ac:dyDescent="0.3">
      <c r="A175" t="s">
        <v>479</v>
      </c>
      <c r="B175" t="s">
        <v>480</v>
      </c>
      <c r="C175">
        <v>23</v>
      </c>
      <c r="D175" t="s">
        <v>29</v>
      </c>
      <c r="E175" t="s">
        <v>68</v>
      </c>
      <c r="F175" t="s">
        <v>35</v>
      </c>
      <c r="G175">
        <v>113872</v>
      </c>
      <c r="H175">
        <v>294774</v>
      </c>
      <c r="I175">
        <v>18</v>
      </c>
      <c r="J175">
        <v>13.35</v>
      </c>
      <c r="K175">
        <v>18161.330000000002</v>
      </c>
      <c r="L175" t="s">
        <v>43</v>
      </c>
      <c r="M175" t="s">
        <v>44</v>
      </c>
      <c r="N175" s="12">
        <v>44646</v>
      </c>
      <c r="O175" t="s">
        <v>481</v>
      </c>
      <c r="P175">
        <v>511</v>
      </c>
      <c r="Q175">
        <v>744</v>
      </c>
      <c r="R175" t="s">
        <v>46</v>
      </c>
      <c r="S175">
        <v>0</v>
      </c>
      <c r="T175" s="10" t="s">
        <v>1264</v>
      </c>
      <c r="U175" s="23">
        <f>COUNTIF(Table1[Loan_Status],"Defaulted")/COUNTA(Table1[Loan_ID])</f>
        <v>0.248</v>
      </c>
    </row>
    <row r="176" spans="1:21" x14ac:dyDescent="0.3">
      <c r="A176" t="s">
        <v>482</v>
      </c>
      <c r="B176" t="s">
        <v>483</v>
      </c>
      <c r="C176">
        <v>27</v>
      </c>
      <c r="D176" t="s">
        <v>29</v>
      </c>
      <c r="E176" t="s">
        <v>22</v>
      </c>
      <c r="F176" t="s">
        <v>23</v>
      </c>
      <c r="G176">
        <v>139649</v>
      </c>
      <c r="H176">
        <v>147131</v>
      </c>
      <c r="I176">
        <v>3</v>
      </c>
      <c r="J176">
        <v>34.18</v>
      </c>
      <c r="K176">
        <v>51863.67</v>
      </c>
      <c r="L176" t="s">
        <v>36</v>
      </c>
      <c r="M176" t="s">
        <v>25</v>
      </c>
      <c r="N176" s="12">
        <v>44745</v>
      </c>
      <c r="Q176">
        <v>622</v>
      </c>
      <c r="R176" t="s">
        <v>26</v>
      </c>
      <c r="S176">
        <v>0</v>
      </c>
      <c r="T176" s="10" t="s">
        <v>1281</v>
      </c>
      <c r="U176" s="23">
        <f>COUNTIF(Table1[Loan_Status],"Defaulted")/COUNTA(Table1[Loan_ID])</f>
        <v>0.248</v>
      </c>
    </row>
    <row r="177" spans="1:21" x14ac:dyDescent="0.3">
      <c r="A177" t="s">
        <v>484</v>
      </c>
      <c r="B177" t="s">
        <v>485</v>
      </c>
      <c r="C177">
        <v>30</v>
      </c>
      <c r="D177" t="s">
        <v>21</v>
      </c>
      <c r="E177" t="s">
        <v>49</v>
      </c>
      <c r="F177" t="s">
        <v>35</v>
      </c>
      <c r="G177">
        <v>57585</v>
      </c>
      <c r="H177">
        <v>300676</v>
      </c>
      <c r="I177">
        <v>6</v>
      </c>
      <c r="J177">
        <v>25.6</v>
      </c>
      <c r="K177">
        <v>53920.21</v>
      </c>
      <c r="L177" t="s">
        <v>31</v>
      </c>
      <c r="M177" t="s">
        <v>32</v>
      </c>
      <c r="N177" s="12">
        <v>44955</v>
      </c>
      <c r="Q177">
        <v>443</v>
      </c>
      <c r="R177" t="s">
        <v>26</v>
      </c>
      <c r="S177">
        <v>196446.26</v>
      </c>
      <c r="T177" s="10" t="s">
        <v>1266</v>
      </c>
      <c r="U177" s="23">
        <f>COUNTIF(Table1[Loan_Status],"Defaulted")/COUNTA(Table1[Loan_ID])</f>
        <v>0.248</v>
      </c>
    </row>
    <row r="178" spans="1:21" x14ac:dyDescent="0.3">
      <c r="A178" t="s">
        <v>486</v>
      </c>
      <c r="B178" t="s">
        <v>487</v>
      </c>
      <c r="C178">
        <v>53</v>
      </c>
      <c r="D178" t="s">
        <v>21</v>
      </c>
      <c r="E178" t="s">
        <v>49</v>
      </c>
      <c r="F178" t="s">
        <v>23</v>
      </c>
      <c r="G178">
        <v>129580</v>
      </c>
      <c r="H178">
        <v>126710</v>
      </c>
      <c r="I178">
        <v>3</v>
      </c>
      <c r="J178">
        <v>20.170000000000002</v>
      </c>
      <c r="K178">
        <v>43664.41</v>
      </c>
      <c r="L178" t="s">
        <v>24</v>
      </c>
      <c r="M178" t="s">
        <v>54</v>
      </c>
      <c r="N178" s="12">
        <v>44896</v>
      </c>
      <c r="O178" t="s">
        <v>488</v>
      </c>
      <c r="P178">
        <v>30</v>
      </c>
      <c r="Q178">
        <v>579</v>
      </c>
      <c r="R178" t="s">
        <v>26</v>
      </c>
      <c r="S178">
        <v>0</v>
      </c>
      <c r="T178" s="10" t="s">
        <v>1280</v>
      </c>
      <c r="U178" s="23">
        <f>COUNTIF(Table1[Loan_Status],"Defaulted")/COUNTA(Table1[Loan_ID])</f>
        <v>0.248</v>
      </c>
    </row>
    <row r="179" spans="1:21" x14ac:dyDescent="0.3">
      <c r="A179" t="s">
        <v>489</v>
      </c>
      <c r="B179" t="s">
        <v>490</v>
      </c>
      <c r="C179">
        <v>52</v>
      </c>
      <c r="D179" t="s">
        <v>29</v>
      </c>
      <c r="E179" t="s">
        <v>42</v>
      </c>
      <c r="F179" t="s">
        <v>35</v>
      </c>
      <c r="G179">
        <v>128206</v>
      </c>
      <c r="H179">
        <v>102380</v>
      </c>
      <c r="I179">
        <v>24</v>
      </c>
      <c r="J179">
        <v>27.86</v>
      </c>
      <c r="K179">
        <v>5612.18</v>
      </c>
      <c r="L179" t="s">
        <v>43</v>
      </c>
      <c r="M179" t="s">
        <v>32</v>
      </c>
      <c r="N179" s="12">
        <v>44814</v>
      </c>
      <c r="Q179">
        <v>375</v>
      </c>
      <c r="R179" t="s">
        <v>26</v>
      </c>
      <c r="S179">
        <v>16117.34</v>
      </c>
      <c r="T179" s="10" t="s">
        <v>1270</v>
      </c>
      <c r="U179" s="23">
        <f>COUNTIF(Table1[Loan_Status],"Defaulted")/COUNTA(Table1[Loan_ID])</f>
        <v>0.248</v>
      </c>
    </row>
    <row r="180" spans="1:21" x14ac:dyDescent="0.3">
      <c r="A180" t="s">
        <v>491</v>
      </c>
      <c r="B180" t="s">
        <v>492</v>
      </c>
      <c r="C180">
        <v>45</v>
      </c>
      <c r="D180" t="s">
        <v>29</v>
      </c>
      <c r="E180" t="s">
        <v>68</v>
      </c>
      <c r="F180" t="s">
        <v>35</v>
      </c>
      <c r="G180">
        <v>109555</v>
      </c>
      <c r="H180">
        <v>60863</v>
      </c>
      <c r="I180">
        <v>3</v>
      </c>
      <c r="J180">
        <v>12.12</v>
      </c>
      <c r="K180">
        <v>20698.849999999999</v>
      </c>
      <c r="L180" t="s">
        <v>36</v>
      </c>
      <c r="M180" t="s">
        <v>54</v>
      </c>
      <c r="N180" s="12">
        <v>44930</v>
      </c>
      <c r="O180" t="s">
        <v>384</v>
      </c>
      <c r="P180">
        <v>276</v>
      </c>
      <c r="Q180">
        <v>404</v>
      </c>
      <c r="R180" t="s">
        <v>26</v>
      </c>
      <c r="S180">
        <v>0</v>
      </c>
      <c r="T180" s="10" t="s">
        <v>1266</v>
      </c>
      <c r="U180" s="23">
        <f>COUNTIF(Table1[Loan_Status],"Defaulted")/COUNTA(Table1[Loan_ID])</f>
        <v>0.248</v>
      </c>
    </row>
    <row r="181" spans="1:21" x14ac:dyDescent="0.3">
      <c r="A181" t="s">
        <v>493</v>
      </c>
      <c r="B181" t="s">
        <v>494</v>
      </c>
      <c r="C181">
        <v>26</v>
      </c>
      <c r="D181" t="s">
        <v>29</v>
      </c>
      <c r="E181" t="s">
        <v>68</v>
      </c>
      <c r="F181" t="s">
        <v>35</v>
      </c>
      <c r="G181">
        <v>149333</v>
      </c>
      <c r="H181">
        <v>218932</v>
      </c>
      <c r="I181">
        <v>3</v>
      </c>
      <c r="J181">
        <v>12.63</v>
      </c>
      <c r="K181">
        <v>74518.87</v>
      </c>
      <c r="L181" t="s">
        <v>36</v>
      </c>
      <c r="M181" t="s">
        <v>25</v>
      </c>
      <c r="N181" s="12">
        <v>45173</v>
      </c>
      <c r="Q181">
        <v>632</v>
      </c>
      <c r="R181" t="s">
        <v>46</v>
      </c>
      <c r="S181">
        <v>0</v>
      </c>
      <c r="T181" s="10" t="s">
        <v>1284</v>
      </c>
      <c r="U181" s="23">
        <f>COUNTIF(Table1[Loan_Status],"Defaulted")/COUNTA(Table1[Loan_ID])</f>
        <v>0.248</v>
      </c>
    </row>
    <row r="182" spans="1:21" x14ac:dyDescent="0.3">
      <c r="A182" t="s">
        <v>495</v>
      </c>
      <c r="B182" t="s">
        <v>496</v>
      </c>
      <c r="C182">
        <v>39</v>
      </c>
      <c r="D182" t="s">
        <v>21</v>
      </c>
      <c r="E182" t="s">
        <v>68</v>
      </c>
      <c r="F182" t="s">
        <v>23</v>
      </c>
      <c r="G182">
        <v>78633</v>
      </c>
      <c r="H182">
        <v>304871</v>
      </c>
      <c r="I182">
        <v>24</v>
      </c>
      <c r="J182">
        <v>16.07</v>
      </c>
      <c r="K182">
        <v>14937.63</v>
      </c>
      <c r="L182" t="s">
        <v>31</v>
      </c>
      <c r="M182" t="s">
        <v>44</v>
      </c>
      <c r="N182" s="12">
        <v>44704</v>
      </c>
      <c r="O182" t="s">
        <v>497</v>
      </c>
      <c r="P182">
        <v>275</v>
      </c>
      <c r="Q182">
        <v>608</v>
      </c>
      <c r="R182" t="s">
        <v>46</v>
      </c>
      <c r="S182">
        <v>0</v>
      </c>
      <c r="T182" s="10" t="s">
        <v>1272</v>
      </c>
      <c r="U182" s="23">
        <f>COUNTIF(Table1[Loan_Status],"Defaulted")/COUNTA(Table1[Loan_ID])</f>
        <v>0.248</v>
      </c>
    </row>
    <row r="183" spans="1:21" x14ac:dyDescent="0.3">
      <c r="A183" t="s">
        <v>498</v>
      </c>
      <c r="B183" t="s">
        <v>499</v>
      </c>
      <c r="C183">
        <v>25</v>
      </c>
      <c r="D183" t="s">
        <v>29</v>
      </c>
      <c r="E183" t="s">
        <v>68</v>
      </c>
      <c r="F183" t="s">
        <v>35</v>
      </c>
      <c r="G183">
        <v>125389</v>
      </c>
      <c r="H183">
        <v>162156</v>
      </c>
      <c r="I183">
        <v>18</v>
      </c>
      <c r="J183">
        <v>30.78</v>
      </c>
      <c r="K183">
        <v>11360.83</v>
      </c>
      <c r="L183" t="s">
        <v>36</v>
      </c>
      <c r="M183" t="s">
        <v>32</v>
      </c>
      <c r="N183" s="12">
        <v>44814</v>
      </c>
      <c r="Q183">
        <v>807</v>
      </c>
      <c r="R183" t="s">
        <v>26</v>
      </c>
      <c r="S183">
        <v>83618.09</v>
      </c>
      <c r="T183" s="10" t="s">
        <v>1270</v>
      </c>
      <c r="U183" s="23">
        <f>COUNTIF(Table1[Loan_Status],"Defaulted")/COUNTA(Table1[Loan_ID])</f>
        <v>0.248</v>
      </c>
    </row>
    <row r="184" spans="1:21" x14ac:dyDescent="0.3">
      <c r="A184" t="s">
        <v>500</v>
      </c>
      <c r="B184" t="s">
        <v>501</v>
      </c>
      <c r="C184">
        <v>50</v>
      </c>
      <c r="D184" t="s">
        <v>29</v>
      </c>
      <c r="E184" t="s">
        <v>22</v>
      </c>
      <c r="F184" t="s">
        <v>35</v>
      </c>
      <c r="G184">
        <v>16774</v>
      </c>
      <c r="H184">
        <v>212456</v>
      </c>
      <c r="I184">
        <v>12</v>
      </c>
      <c r="J184">
        <v>32.200000000000003</v>
      </c>
      <c r="K184">
        <v>20942.310000000001</v>
      </c>
      <c r="L184" t="s">
        <v>31</v>
      </c>
      <c r="M184" t="s">
        <v>32</v>
      </c>
      <c r="N184" s="12">
        <v>45012</v>
      </c>
      <c r="Q184">
        <v>642</v>
      </c>
      <c r="R184" t="s">
        <v>26</v>
      </c>
      <c r="S184">
        <v>85286.5</v>
      </c>
      <c r="T184" s="10" t="s">
        <v>1271</v>
      </c>
      <c r="U184" s="23">
        <f>COUNTIF(Table1[Loan_Status],"Defaulted")/COUNTA(Table1[Loan_ID])</f>
        <v>0.248</v>
      </c>
    </row>
    <row r="185" spans="1:21" x14ac:dyDescent="0.3">
      <c r="A185" t="s">
        <v>502</v>
      </c>
      <c r="B185" t="s">
        <v>503</v>
      </c>
      <c r="C185">
        <v>40</v>
      </c>
      <c r="D185" t="s">
        <v>21</v>
      </c>
      <c r="E185" t="s">
        <v>30</v>
      </c>
      <c r="F185" t="s">
        <v>23</v>
      </c>
      <c r="G185">
        <v>140569</v>
      </c>
      <c r="H185">
        <v>169722</v>
      </c>
      <c r="I185">
        <v>6</v>
      </c>
      <c r="J185">
        <v>35.15</v>
      </c>
      <c r="K185">
        <v>31256.74</v>
      </c>
      <c r="L185" t="s">
        <v>36</v>
      </c>
      <c r="M185" t="s">
        <v>32</v>
      </c>
      <c r="N185" s="12">
        <v>45273</v>
      </c>
      <c r="Q185">
        <v>802</v>
      </c>
      <c r="R185" t="s">
        <v>26</v>
      </c>
      <c r="S185">
        <v>131947.68</v>
      </c>
      <c r="T185" s="10" t="s">
        <v>1282</v>
      </c>
      <c r="U185" s="23">
        <f>COUNTIF(Table1[Loan_Status],"Defaulted")/COUNTA(Table1[Loan_ID])</f>
        <v>0.248</v>
      </c>
    </row>
    <row r="186" spans="1:21" x14ac:dyDescent="0.3">
      <c r="A186" t="s">
        <v>504</v>
      </c>
      <c r="B186" t="s">
        <v>505</v>
      </c>
      <c r="C186">
        <v>41</v>
      </c>
      <c r="D186" t="s">
        <v>21</v>
      </c>
      <c r="E186" t="s">
        <v>42</v>
      </c>
      <c r="F186" t="s">
        <v>35</v>
      </c>
      <c r="G186">
        <v>110686</v>
      </c>
      <c r="H186">
        <v>64710</v>
      </c>
      <c r="I186">
        <v>24</v>
      </c>
      <c r="J186">
        <v>16.8</v>
      </c>
      <c r="K186">
        <v>3193.19</v>
      </c>
      <c r="L186" t="s">
        <v>24</v>
      </c>
      <c r="M186" t="s">
        <v>44</v>
      </c>
      <c r="N186" s="12">
        <v>45260</v>
      </c>
      <c r="O186" t="s">
        <v>506</v>
      </c>
      <c r="P186">
        <v>196</v>
      </c>
      <c r="Q186">
        <v>327</v>
      </c>
      <c r="R186" t="s">
        <v>46</v>
      </c>
      <c r="S186">
        <v>0</v>
      </c>
      <c r="T186" s="10" t="s">
        <v>1273</v>
      </c>
      <c r="U186" s="23">
        <f>COUNTIF(Table1[Loan_Status],"Defaulted")/COUNTA(Table1[Loan_ID])</f>
        <v>0.248</v>
      </c>
    </row>
    <row r="187" spans="1:21" x14ac:dyDescent="0.3">
      <c r="A187" t="s">
        <v>507</v>
      </c>
      <c r="B187" t="s">
        <v>508</v>
      </c>
      <c r="C187">
        <v>34</v>
      </c>
      <c r="D187" t="s">
        <v>21</v>
      </c>
      <c r="E187" t="s">
        <v>42</v>
      </c>
      <c r="F187" t="s">
        <v>23</v>
      </c>
      <c r="G187">
        <v>122254</v>
      </c>
      <c r="H187">
        <v>357834</v>
      </c>
      <c r="I187">
        <v>18</v>
      </c>
      <c r="J187">
        <v>15.34</v>
      </c>
      <c r="K187">
        <v>22380.7</v>
      </c>
      <c r="L187" t="s">
        <v>36</v>
      </c>
      <c r="M187" t="s">
        <v>44</v>
      </c>
      <c r="N187" s="12">
        <v>44820</v>
      </c>
      <c r="O187" t="s">
        <v>117</v>
      </c>
      <c r="P187">
        <v>157</v>
      </c>
      <c r="Q187">
        <v>733</v>
      </c>
      <c r="R187" t="s">
        <v>46</v>
      </c>
      <c r="S187">
        <v>0</v>
      </c>
      <c r="T187" s="10" t="s">
        <v>1270</v>
      </c>
      <c r="U187" s="23">
        <f>COUNTIF(Table1[Loan_Status],"Defaulted")/COUNTA(Table1[Loan_ID])</f>
        <v>0.248</v>
      </c>
    </row>
    <row r="188" spans="1:21" x14ac:dyDescent="0.3">
      <c r="A188" t="s">
        <v>510</v>
      </c>
      <c r="B188" t="s">
        <v>511</v>
      </c>
      <c r="C188">
        <v>49</v>
      </c>
      <c r="D188" t="s">
        <v>21</v>
      </c>
      <c r="E188" t="s">
        <v>30</v>
      </c>
      <c r="F188" t="s">
        <v>35</v>
      </c>
      <c r="G188">
        <v>147805</v>
      </c>
      <c r="H188">
        <v>489177</v>
      </c>
      <c r="I188">
        <v>18</v>
      </c>
      <c r="J188">
        <v>25.05</v>
      </c>
      <c r="K188">
        <v>32880.69</v>
      </c>
      <c r="L188" t="s">
        <v>36</v>
      </c>
      <c r="M188" t="s">
        <v>25</v>
      </c>
      <c r="N188" s="12">
        <v>44673</v>
      </c>
      <c r="Q188">
        <v>554</v>
      </c>
      <c r="R188" t="s">
        <v>46</v>
      </c>
      <c r="S188">
        <v>0</v>
      </c>
      <c r="T188" s="10" t="s">
        <v>1274</v>
      </c>
      <c r="U188" s="23">
        <f>COUNTIF(Table1[Loan_Status],"Defaulted")/COUNTA(Table1[Loan_ID])</f>
        <v>0.248</v>
      </c>
    </row>
    <row r="189" spans="1:21" x14ac:dyDescent="0.3">
      <c r="A189" t="s">
        <v>512</v>
      </c>
      <c r="B189" t="s">
        <v>513</v>
      </c>
      <c r="C189">
        <v>31</v>
      </c>
      <c r="D189" t="s">
        <v>29</v>
      </c>
      <c r="E189" t="s">
        <v>30</v>
      </c>
      <c r="F189" t="s">
        <v>35</v>
      </c>
      <c r="G189">
        <v>101926</v>
      </c>
      <c r="H189">
        <v>422454</v>
      </c>
      <c r="I189">
        <v>18</v>
      </c>
      <c r="J189">
        <v>14.54</v>
      </c>
      <c r="K189">
        <v>26263.34</v>
      </c>
      <c r="L189" t="s">
        <v>43</v>
      </c>
      <c r="M189" t="s">
        <v>32</v>
      </c>
      <c r="N189" s="12">
        <v>44789</v>
      </c>
      <c r="Q189">
        <v>822</v>
      </c>
      <c r="R189" t="s">
        <v>26</v>
      </c>
      <c r="S189">
        <v>263103.13</v>
      </c>
      <c r="T189" s="10" t="s">
        <v>1275</v>
      </c>
      <c r="U189" s="23">
        <f>COUNTIF(Table1[Loan_Status],"Defaulted")/COUNTA(Table1[Loan_ID])</f>
        <v>0.248</v>
      </c>
    </row>
    <row r="190" spans="1:21" x14ac:dyDescent="0.3">
      <c r="A190" t="s">
        <v>514</v>
      </c>
      <c r="B190" t="s">
        <v>515</v>
      </c>
      <c r="C190">
        <v>49</v>
      </c>
      <c r="D190" t="s">
        <v>21</v>
      </c>
      <c r="E190" t="s">
        <v>68</v>
      </c>
      <c r="F190" t="s">
        <v>35</v>
      </c>
      <c r="G190">
        <v>146194</v>
      </c>
      <c r="H190">
        <v>84033</v>
      </c>
      <c r="I190">
        <v>12</v>
      </c>
      <c r="J190">
        <v>35.94</v>
      </c>
      <c r="K190">
        <v>8439.61</v>
      </c>
      <c r="L190" t="s">
        <v>31</v>
      </c>
      <c r="M190" t="s">
        <v>25</v>
      </c>
      <c r="N190" s="12">
        <v>44864</v>
      </c>
      <c r="Q190">
        <v>725</v>
      </c>
      <c r="R190" t="s">
        <v>46</v>
      </c>
      <c r="S190">
        <v>0</v>
      </c>
      <c r="T190" s="10" t="s">
        <v>1267</v>
      </c>
      <c r="U190" s="23">
        <f>COUNTIF(Table1[Loan_Status],"Defaulted")/COUNTA(Table1[Loan_ID])</f>
        <v>0.248</v>
      </c>
    </row>
    <row r="191" spans="1:21" x14ac:dyDescent="0.3">
      <c r="A191" t="s">
        <v>516</v>
      </c>
      <c r="B191" t="s">
        <v>517</v>
      </c>
      <c r="C191">
        <v>28</v>
      </c>
      <c r="D191" t="s">
        <v>29</v>
      </c>
      <c r="E191" t="s">
        <v>42</v>
      </c>
      <c r="F191" t="s">
        <v>35</v>
      </c>
      <c r="G191">
        <v>104932</v>
      </c>
      <c r="H191">
        <v>243725</v>
      </c>
      <c r="I191">
        <v>6</v>
      </c>
      <c r="J191">
        <v>24.51</v>
      </c>
      <c r="K191">
        <v>43573.63</v>
      </c>
      <c r="L191" t="s">
        <v>36</v>
      </c>
      <c r="M191" t="s">
        <v>54</v>
      </c>
      <c r="N191" s="12">
        <v>44661</v>
      </c>
      <c r="O191" t="s">
        <v>412</v>
      </c>
      <c r="P191">
        <v>448</v>
      </c>
      <c r="Q191">
        <v>763</v>
      </c>
      <c r="R191" t="s">
        <v>26</v>
      </c>
      <c r="S191">
        <v>0</v>
      </c>
      <c r="T191" s="10" t="s">
        <v>1274</v>
      </c>
      <c r="U191" s="23">
        <f>COUNTIF(Table1[Loan_Status],"Defaulted")/COUNTA(Table1[Loan_ID])</f>
        <v>0.248</v>
      </c>
    </row>
    <row r="192" spans="1:21" x14ac:dyDescent="0.3">
      <c r="A192" t="s">
        <v>518</v>
      </c>
      <c r="B192" t="s">
        <v>519</v>
      </c>
      <c r="C192">
        <v>25</v>
      </c>
      <c r="D192" t="s">
        <v>21</v>
      </c>
      <c r="E192" t="s">
        <v>49</v>
      </c>
      <c r="F192" t="s">
        <v>23</v>
      </c>
      <c r="G192">
        <v>20920</v>
      </c>
      <c r="H192">
        <v>450214</v>
      </c>
      <c r="I192">
        <v>12</v>
      </c>
      <c r="J192">
        <v>27.55</v>
      </c>
      <c r="K192">
        <v>43349.29</v>
      </c>
      <c r="L192" t="s">
        <v>39</v>
      </c>
      <c r="M192" t="s">
        <v>44</v>
      </c>
      <c r="N192" s="12">
        <v>45090</v>
      </c>
      <c r="O192" t="s">
        <v>521</v>
      </c>
      <c r="P192">
        <v>89</v>
      </c>
      <c r="Q192">
        <v>463</v>
      </c>
      <c r="R192" t="s">
        <v>46</v>
      </c>
      <c r="S192">
        <v>0</v>
      </c>
      <c r="T192" s="10" t="s">
        <v>1276</v>
      </c>
      <c r="U192" s="23">
        <f>COUNTIF(Table1[Loan_Status],"Defaulted")/COUNTA(Table1[Loan_ID])</f>
        <v>0.248</v>
      </c>
    </row>
    <row r="193" spans="1:21" x14ac:dyDescent="0.3">
      <c r="A193" t="s">
        <v>522</v>
      </c>
      <c r="B193" t="s">
        <v>523</v>
      </c>
      <c r="C193">
        <v>50</v>
      </c>
      <c r="D193" t="s">
        <v>29</v>
      </c>
      <c r="E193" t="s">
        <v>68</v>
      </c>
      <c r="F193" t="s">
        <v>23</v>
      </c>
      <c r="G193">
        <v>63860</v>
      </c>
      <c r="H193">
        <v>340795</v>
      </c>
      <c r="I193">
        <v>18</v>
      </c>
      <c r="J193">
        <v>21.49</v>
      </c>
      <c r="K193">
        <v>22315.84</v>
      </c>
      <c r="L193" t="s">
        <v>24</v>
      </c>
      <c r="M193" t="s">
        <v>44</v>
      </c>
      <c r="N193" s="12">
        <v>45022</v>
      </c>
      <c r="O193" t="s">
        <v>130</v>
      </c>
      <c r="P193">
        <v>303</v>
      </c>
      <c r="Q193">
        <v>739</v>
      </c>
      <c r="R193" t="s">
        <v>46</v>
      </c>
      <c r="S193">
        <v>0</v>
      </c>
      <c r="T193" s="10" t="s">
        <v>1278</v>
      </c>
      <c r="U193" s="23">
        <f>COUNTIF(Table1[Loan_Status],"Defaulted")/COUNTA(Table1[Loan_ID])</f>
        <v>0.248</v>
      </c>
    </row>
    <row r="194" spans="1:21" x14ac:dyDescent="0.3">
      <c r="A194" t="s">
        <v>524</v>
      </c>
      <c r="B194" t="s">
        <v>525</v>
      </c>
      <c r="C194">
        <v>34</v>
      </c>
      <c r="D194" t="s">
        <v>21</v>
      </c>
      <c r="E194" t="s">
        <v>49</v>
      </c>
      <c r="F194" t="s">
        <v>23</v>
      </c>
      <c r="G194">
        <v>64010</v>
      </c>
      <c r="H194">
        <v>196780</v>
      </c>
      <c r="I194">
        <v>12</v>
      </c>
      <c r="J194">
        <v>16.73</v>
      </c>
      <c r="K194">
        <v>17922.07</v>
      </c>
      <c r="L194" t="s">
        <v>43</v>
      </c>
      <c r="M194" t="s">
        <v>32</v>
      </c>
      <c r="N194" s="12">
        <v>45248</v>
      </c>
      <c r="Q194">
        <v>801</v>
      </c>
      <c r="R194" t="s">
        <v>26</v>
      </c>
      <c r="S194">
        <v>92368.63</v>
      </c>
      <c r="T194" s="10" t="s">
        <v>1273</v>
      </c>
      <c r="U194" s="23">
        <f>COUNTIF(Table1[Loan_Status],"Defaulted")/COUNTA(Table1[Loan_ID])</f>
        <v>0.248</v>
      </c>
    </row>
    <row r="195" spans="1:21" x14ac:dyDescent="0.3">
      <c r="A195" t="s">
        <v>526</v>
      </c>
      <c r="B195" t="s">
        <v>527</v>
      </c>
      <c r="C195">
        <v>45</v>
      </c>
      <c r="D195" t="s">
        <v>21</v>
      </c>
      <c r="E195" t="s">
        <v>30</v>
      </c>
      <c r="F195" t="s">
        <v>23</v>
      </c>
      <c r="G195">
        <v>106206</v>
      </c>
      <c r="H195">
        <v>189541</v>
      </c>
      <c r="I195">
        <v>18</v>
      </c>
      <c r="J195">
        <v>26.82</v>
      </c>
      <c r="K195">
        <v>12905.5</v>
      </c>
      <c r="L195" t="s">
        <v>36</v>
      </c>
      <c r="M195" t="s">
        <v>25</v>
      </c>
      <c r="N195" s="12">
        <v>45250</v>
      </c>
      <c r="Q195">
        <v>437</v>
      </c>
      <c r="R195" t="s">
        <v>46</v>
      </c>
      <c r="S195">
        <v>0</v>
      </c>
      <c r="T195" s="10" t="s">
        <v>1273</v>
      </c>
      <c r="U195" s="23">
        <f>COUNTIF(Table1[Loan_Status],"Defaulted")/COUNTA(Table1[Loan_ID])</f>
        <v>0.248</v>
      </c>
    </row>
    <row r="196" spans="1:21" x14ac:dyDescent="0.3">
      <c r="A196" t="s">
        <v>528</v>
      </c>
      <c r="B196" t="s">
        <v>529</v>
      </c>
      <c r="C196">
        <v>40</v>
      </c>
      <c r="D196" t="s">
        <v>29</v>
      </c>
      <c r="E196" t="s">
        <v>22</v>
      </c>
      <c r="F196" t="s">
        <v>35</v>
      </c>
      <c r="G196">
        <v>52056</v>
      </c>
      <c r="H196">
        <v>272819</v>
      </c>
      <c r="I196">
        <v>18</v>
      </c>
      <c r="J196">
        <v>22.04</v>
      </c>
      <c r="K196">
        <v>17937.32</v>
      </c>
      <c r="L196" t="s">
        <v>39</v>
      </c>
      <c r="M196" t="s">
        <v>54</v>
      </c>
      <c r="N196" s="12">
        <v>44995</v>
      </c>
      <c r="O196" t="s">
        <v>520</v>
      </c>
      <c r="P196">
        <v>95</v>
      </c>
      <c r="Q196">
        <v>798</v>
      </c>
      <c r="R196" t="s">
        <v>26</v>
      </c>
      <c r="S196">
        <v>0</v>
      </c>
      <c r="T196" s="10" t="s">
        <v>1271</v>
      </c>
      <c r="U196" s="23">
        <f>COUNTIF(Table1[Loan_Status],"Defaulted")/COUNTA(Table1[Loan_ID])</f>
        <v>0.248</v>
      </c>
    </row>
    <row r="197" spans="1:21" x14ac:dyDescent="0.3">
      <c r="A197" t="s">
        <v>530</v>
      </c>
      <c r="B197" t="s">
        <v>531</v>
      </c>
      <c r="C197">
        <v>32</v>
      </c>
      <c r="D197" t="s">
        <v>29</v>
      </c>
      <c r="E197" t="s">
        <v>68</v>
      </c>
      <c r="F197" t="s">
        <v>35</v>
      </c>
      <c r="G197">
        <v>51777</v>
      </c>
      <c r="H197">
        <v>103093</v>
      </c>
      <c r="I197">
        <v>12</v>
      </c>
      <c r="J197">
        <v>32.21</v>
      </c>
      <c r="K197">
        <v>10162.64</v>
      </c>
      <c r="L197" t="s">
        <v>24</v>
      </c>
      <c r="M197" t="s">
        <v>25</v>
      </c>
      <c r="N197" s="12">
        <v>44929</v>
      </c>
      <c r="Q197">
        <v>309</v>
      </c>
      <c r="R197" t="s">
        <v>46</v>
      </c>
      <c r="S197">
        <v>0</v>
      </c>
      <c r="T197" s="10" t="s">
        <v>1266</v>
      </c>
      <c r="U197" s="23">
        <f>COUNTIF(Table1[Loan_Status],"Defaulted")/COUNTA(Table1[Loan_ID])</f>
        <v>0.248</v>
      </c>
    </row>
    <row r="198" spans="1:21" x14ac:dyDescent="0.3">
      <c r="A198" t="s">
        <v>532</v>
      </c>
      <c r="B198" t="s">
        <v>533</v>
      </c>
      <c r="C198">
        <v>45</v>
      </c>
      <c r="D198" t="s">
        <v>21</v>
      </c>
      <c r="E198" t="s">
        <v>68</v>
      </c>
      <c r="F198" t="s">
        <v>35</v>
      </c>
      <c r="G198">
        <v>123955</v>
      </c>
      <c r="H198">
        <v>377319</v>
      </c>
      <c r="I198">
        <v>18</v>
      </c>
      <c r="J198">
        <v>23.73</v>
      </c>
      <c r="K198">
        <v>25118.21</v>
      </c>
      <c r="L198" t="s">
        <v>43</v>
      </c>
      <c r="M198" t="s">
        <v>25</v>
      </c>
      <c r="N198" s="12">
        <v>44787</v>
      </c>
      <c r="Q198">
        <v>599</v>
      </c>
      <c r="R198" t="s">
        <v>26</v>
      </c>
      <c r="S198">
        <v>0</v>
      </c>
      <c r="T198" s="10" t="s">
        <v>1275</v>
      </c>
      <c r="U198" s="23">
        <f>COUNTIF(Table1[Loan_Status],"Defaulted")/COUNTA(Table1[Loan_ID])</f>
        <v>0.248</v>
      </c>
    </row>
    <row r="199" spans="1:21" x14ac:dyDescent="0.3">
      <c r="A199" t="s">
        <v>534</v>
      </c>
      <c r="B199" t="s">
        <v>535</v>
      </c>
      <c r="C199">
        <v>55</v>
      </c>
      <c r="D199" t="s">
        <v>21</v>
      </c>
      <c r="E199" t="s">
        <v>22</v>
      </c>
      <c r="F199" t="s">
        <v>35</v>
      </c>
      <c r="G199">
        <v>144843</v>
      </c>
      <c r="H199">
        <v>293214</v>
      </c>
      <c r="I199">
        <v>24</v>
      </c>
      <c r="J199">
        <v>14.72</v>
      </c>
      <c r="K199">
        <v>14177.99</v>
      </c>
      <c r="L199" t="s">
        <v>43</v>
      </c>
      <c r="M199" t="s">
        <v>32</v>
      </c>
      <c r="N199" s="12">
        <v>45118</v>
      </c>
      <c r="Q199">
        <v>675</v>
      </c>
      <c r="R199" t="s">
        <v>26</v>
      </c>
      <c r="S199">
        <v>140575.70000000001</v>
      </c>
      <c r="T199" s="10" t="s">
        <v>1265</v>
      </c>
      <c r="U199" s="23">
        <f>COUNTIF(Table1[Loan_Status],"Defaulted")/COUNTA(Table1[Loan_ID])</f>
        <v>0.248</v>
      </c>
    </row>
    <row r="200" spans="1:21" x14ac:dyDescent="0.3">
      <c r="A200" t="s">
        <v>536</v>
      </c>
      <c r="B200" t="s">
        <v>537</v>
      </c>
      <c r="C200">
        <v>49</v>
      </c>
      <c r="D200" t="s">
        <v>29</v>
      </c>
      <c r="E200" t="s">
        <v>68</v>
      </c>
      <c r="F200" t="s">
        <v>23</v>
      </c>
      <c r="G200">
        <v>79888</v>
      </c>
      <c r="H200">
        <v>161085</v>
      </c>
      <c r="I200">
        <v>3</v>
      </c>
      <c r="J200">
        <v>22.79</v>
      </c>
      <c r="K200">
        <v>55747.3</v>
      </c>
      <c r="L200" t="s">
        <v>36</v>
      </c>
      <c r="M200" t="s">
        <v>25</v>
      </c>
      <c r="N200" s="12">
        <v>45011</v>
      </c>
      <c r="Q200">
        <v>420</v>
      </c>
      <c r="R200" t="s">
        <v>46</v>
      </c>
      <c r="S200">
        <v>0</v>
      </c>
      <c r="T200" s="10" t="s">
        <v>1271</v>
      </c>
      <c r="U200" s="23">
        <f>COUNTIF(Table1[Loan_Status],"Defaulted")/COUNTA(Table1[Loan_ID])</f>
        <v>0.248</v>
      </c>
    </row>
    <row r="201" spans="1:21" x14ac:dyDescent="0.3">
      <c r="A201" t="s">
        <v>538</v>
      </c>
      <c r="B201" t="s">
        <v>539</v>
      </c>
      <c r="C201">
        <v>34</v>
      </c>
      <c r="D201" t="s">
        <v>21</v>
      </c>
      <c r="E201" t="s">
        <v>30</v>
      </c>
      <c r="F201" t="s">
        <v>35</v>
      </c>
      <c r="G201">
        <v>58511</v>
      </c>
      <c r="H201">
        <v>328040</v>
      </c>
      <c r="I201">
        <v>6</v>
      </c>
      <c r="J201">
        <v>30.84</v>
      </c>
      <c r="K201">
        <v>59695.15</v>
      </c>
      <c r="L201" t="s">
        <v>39</v>
      </c>
      <c r="M201" t="s">
        <v>25</v>
      </c>
      <c r="N201" s="12">
        <v>45145</v>
      </c>
      <c r="Q201">
        <v>659</v>
      </c>
      <c r="R201" t="s">
        <v>46</v>
      </c>
      <c r="S201">
        <v>0</v>
      </c>
      <c r="T201" s="10" t="s">
        <v>1261</v>
      </c>
      <c r="U201" s="23">
        <f>COUNTIF(Table1[Loan_Status],"Defaulted")/COUNTA(Table1[Loan_ID])</f>
        <v>0.248</v>
      </c>
    </row>
    <row r="202" spans="1:21" x14ac:dyDescent="0.3">
      <c r="A202" t="s">
        <v>540</v>
      </c>
      <c r="B202" t="s">
        <v>541</v>
      </c>
      <c r="C202">
        <v>31</v>
      </c>
      <c r="D202" t="s">
        <v>21</v>
      </c>
      <c r="E202" t="s">
        <v>42</v>
      </c>
      <c r="F202" t="s">
        <v>35</v>
      </c>
      <c r="G202">
        <v>85082</v>
      </c>
      <c r="H202">
        <v>454847</v>
      </c>
      <c r="I202">
        <v>24</v>
      </c>
      <c r="J202">
        <v>35.65</v>
      </c>
      <c r="K202">
        <v>26773.23</v>
      </c>
      <c r="L202" t="s">
        <v>43</v>
      </c>
      <c r="M202" t="s">
        <v>44</v>
      </c>
      <c r="N202" s="12">
        <v>44983</v>
      </c>
      <c r="O202" t="s">
        <v>542</v>
      </c>
      <c r="P202">
        <v>470</v>
      </c>
      <c r="Q202">
        <v>360</v>
      </c>
      <c r="R202" t="s">
        <v>46</v>
      </c>
      <c r="S202">
        <v>0</v>
      </c>
      <c r="T202" s="10" t="s">
        <v>1277</v>
      </c>
      <c r="U202" s="23">
        <f>COUNTIF(Table1[Loan_Status],"Defaulted")/COUNTA(Table1[Loan_ID])</f>
        <v>0.248</v>
      </c>
    </row>
    <row r="203" spans="1:21" x14ac:dyDescent="0.3">
      <c r="A203" t="s">
        <v>543</v>
      </c>
      <c r="B203" t="s">
        <v>544</v>
      </c>
      <c r="C203">
        <v>29</v>
      </c>
      <c r="D203" t="s">
        <v>29</v>
      </c>
      <c r="E203" t="s">
        <v>22</v>
      </c>
      <c r="F203" t="s">
        <v>35</v>
      </c>
      <c r="G203">
        <v>79894</v>
      </c>
      <c r="H203">
        <v>404231</v>
      </c>
      <c r="I203">
        <v>18</v>
      </c>
      <c r="J203">
        <v>23.75</v>
      </c>
      <c r="K203">
        <v>26913.69</v>
      </c>
      <c r="L203" t="s">
        <v>24</v>
      </c>
      <c r="M203" t="s">
        <v>32</v>
      </c>
      <c r="N203" s="12">
        <v>45204</v>
      </c>
      <c r="Q203">
        <v>724</v>
      </c>
      <c r="R203" t="s">
        <v>26</v>
      </c>
      <c r="S203">
        <v>146582.5</v>
      </c>
      <c r="T203" s="10" t="s">
        <v>1279</v>
      </c>
      <c r="U203" s="23">
        <f>COUNTIF(Table1[Loan_Status],"Defaulted")/COUNTA(Table1[Loan_ID])</f>
        <v>0.248</v>
      </c>
    </row>
    <row r="204" spans="1:21" x14ac:dyDescent="0.3">
      <c r="A204" t="s">
        <v>545</v>
      </c>
      <c r="B204" t="s">
        <v>546</v>
      </c>
      <c r="C204">
        <v>26</v>
      </c>
      <c r="D204" t="s">
        <v>21</v>
      </c>
      <c r="E204" t="s">
        <v>30</v>
      </c>
      <c r="F204" t="s">
        <v>35</v>
      </c>
      <c r="G204">
        <v>111749</v>
      </c>
      <c r="H204">
        <v>243391</v>
      </c>
      <c r="I204">
        <v>18</v>
      </c>
      <c r="J204">
        <v>19.850000000000001</v>
      </c>
      <c r="K204">
        <v>15745.24</v>
      </c>
      <c r="L204" t="s">
        <v>43</v>
      </c>
      <c r="M204" t="s">
        <v>25</v>
      </c>
      <c r="N204" s="12">
        <v>45031</v>
      </c>
      <c r="Q204">
        <v>666</v>
      </c>
      <c r="R204" t="s">
        <v>46</v>
      </c>
      <c r="S204">
        <v>0</v>
      </c>
      <c r="T204" s="10" t="s">
        <v>1278</v>
      </c>
      <c r="U204" s="23">
        <f>COUNTIF(Table1[Loan_Status],"Defaulted")/COUNTA(Table1[Loan_ID])</f>
        <v>0.248</v>
      </c>
    </row>
    <row r="205" spans="1:21" x14ac:dyDescent="0.3">
      <c r="A205" t="s">
        <v>547</v>
      </c>
      <c r="B205" t="s">
        <v>548</v>
      </c>
      <c r="C205">
        <v>46</v>
      </c>
      <c r="D205" t="s">
        <v>29</v>
      </c>
      <c r="E205" t="s">
        <v>68</v>
      </c>
      <c r="F205" t="s">
        <v>23</v>
      </c>
      <c r="G205">
        <v>144686</v>
      </c>
      <c r="H205">
        <v>145790</v>
      </c>
      <c r="I205">
        <v>12</v>
      </c>
      <c r="J205">
        <v>31.88</v>
      </c>
      <c r="K205">
        <v>14347.81</v>
      </c>
      <c r="L205" t="s">
        <v>36</v>
      </c>
      <c r="M205" t="s">
        <v>44</v>
      </c>
      <c r="N205" s="12">
        <v>45141</v>
      </c>
      <c r="O205" t="s">
        <v>549</v>
      </c>
      <c r="P205">
        <v>248</v>
      </c>
      <c r="Q205">
        <v>651</v>
      </c>
      <c r="R205" t="s">
        <v>46</v>
      </c>
      <c r="S205">
        <v>0</v>
      </c>
      <c r="T205" s="10" t="s">
        <v>1261</v>
      </c>
      <c r="U205" s="23">
        <f>COUNTIF(Table1[Loan_Status],"Defaulted")/COUNTA(Table1[Loan_ID])</f>
        <v>0.248</v>
      </c>
    </row>
    <row r="206" spans="1:21" x14ac:dyDescent="0.3">
      <c r="A206" t="s">
        <v>550</v>
      </c>
      <c r="B206" t="s">
        <v>551</v>
      </c>
      <c r="C206">
        <v>23</v>
      </c>
      <c r="D206" t="s">
        <v>29</v>
      </c>
      <c r="E206" t="s">
        <v>68</v>
      </c>
      <c r="F206" t="s">
        <v>23</v>
      </c>
      <c r="G206">
        <v>47568</v>
      </c>
      <c r="H206">
        <v>492290</v>
      </c>
      <c r="I206">
        <v>6</v>
      </c>
      <c r="J206">
        <v>22.59</v>
      </c>
      <c r="K206">
        <v>87538.29</v>
      </c>
      <c r="L206" t="s">
        <v>43</v>
      </c>
      <c r="M206" t="s">
        <v>54</v>
      </c>
      <c r="N206" s="12">
        <v>44769</v>
      </c>
      <c r="O206" t="s">
        <v>552</v>
      </c>
      <c r="P206">
        <v>135</v>
      </c>
      <c r="Q206">
        <v>609</v>
      </c>
      <c r="R206" t="s">
        <v>26</v>
      </c>
      <c r="S206">
        <v>0</v>
      </c>
      <c r="T206" s="10" t="s">
        <v>1281</v>
      </c>
      <c r="U206" s="23">
        <f>COUNTIF(Table1[Loan_Status],"Defaulted")/COUNTA(Table1[Loan_ID])</f>
        <v>0.248</v>
      </c>
    </row>
    <row r="207" spans="1:21" x14ac:dyDescent="0.3">
      <c r="A207" t="s">
        <v>553</v>
      </c>
      <c r="B207" t="s">
        <v>554</v>
      </c>
      <c r="C207">
        <v>38</v>
      </c>
      <c r="D207" t="s">
        <v>29</v>
      </c>
      <c r="E207" t="s">
        <v>42</v>
      </c>
      <c r="F207" t="s">
        <v>35</v>
      </c>
      <c r="G207">
        <v>36606</v>
      </c>
      <c r="H207">
        <v>199953</v>
      </c>
      <c r="I207">
        <v>6</v>
      </c>
      <c r="J207">
        <v>13.24</v>
      </c>
      <c r="K207">
        <v>34624.19</v>
      </c>
      <c r="L207" t="s">
        <v>36</v>
      </c>
      <c r="M207" t="s">
        <v>44</v>
      </c>
      <c r="N207" s="12">
        <v>45001</v>
      </c>
      <c r="O207" t="s">
        <v>439</v>
      </c>
      <c r="P207">
        <v>335</v>
      </c>
      <c r="Q207">
        <v>393</v>
      </c>
      <c r="R207" t="s">
        <v>46</v>
      </c>
      <c r="S207">
        <v>0</v>
      </c>
      <c r="T207" s="10" t="s">
        <v>1271</v>
      </c>
      <c r="U207" s="23">
        <f>COUNTIF(Table1[Loan_Status],"Defaulted")/COUNTA(Table1[Loan_ID])</f>
        <v>0.248</v>
      </c>
    </row>
    <row r="208" spans="1:21" x14ac:dyDescent="0.3">
      <c r="A208" t="s">
        <v>555</v>
      </c>
      <c r="B208" t="s">
        <v>556</v>
      </c>
      <c r="C208">
        <v>34</v>
      </c>
      <c r="D208" t="s">
        <v>21</v>
      </c>
      <c r="E208" t="s">
        <v>49</v>
      </c>
      <c r="F208" t="s">
        <v>23</v>
      </c>
      <c r="G208">
        <v>74294</v>
      </c>
      <c r="H208">
        <v>277338</v>
      </c>
      <c r="I208">
        <v>18</v>
      </c>
      <c r="J208">
        <v>12.22</v>
      </c>
      <c r="K208">
        <v>16941</v>
      </c>
      <c r="L208" t="s">
        <v>36</v>
      </c>
      <c r="M208" t="s">
        <v>25</v>
      </c>
      <c r="N208" s="12">
        <v>44994</v>
      </c>
      <c r="Q208">
        <v>435</v>
      </c>
      <c r="R208" t="s">
        <v>46</v>
      </c>
      <c r="S208">
        <v>0</v>
      </c>
      <c r="T208" s="10" t="s">
        <v>1271</v>
      </c>
      <c r="U208" s="23">
        <f>COUNTIF(Table1[Loan_Status],"Defaulted")/COUNTA(Table1[Loan_ID])</f>
        <v>0.248</v>
      </c>
    </row>
    <row r="209" spans="1:21" x14ac:dyDescent="0.3">
      <c r="A209" t="s">
        <v>557</v>
      </c>
      <c r="B209" t="s">
        <v>558</v>
      </c>
      <c r="C209">
        <v>45</v>
      </c>
      <c r="D209" t="s">
        <v>29</v>
      </c>
      <c r="E209" t="s">
        <v>49</v>
      </c>
      <c r="F209" t="s">
        <v>23</v>
      </c>
      <c r="G209">
        <v>97143</v>
      </c>
      <c r="H209">
        <v>197708</v>
      </c>
      <c r="I209">
        <v>12</v>
      </c>
      <c r="J209">
        <v>15.29</v>
      </c>
      <c r="K209">
        <v>17871.86</v>
      </c>
      <c r="L209" t="s">
        <v>39</v>
      </c>
      <c r="M209" t="s">
        <v>44</v>
      </c>
      <c r="N209" s="12">
        <v>44632</v>
      </c>
      <c r="O209" t="s">
        <v>559</v>
      </c>
      <c r="P209">
        <v>543</v>
      </c>
      <c r="Q209">
        <v>308</v>
      </c>
      <c r="R209" t="s">
        <v>46</v>
      </c>
      <c r="S209">
        <v>0</v>
      </c>
      <c r="T209" s="10" t="s">
        <v>1264</v>
      </c>
      <c r="U209" s="23">
        <f>COUNTIF(Table1[Loan_Status],"Defaulted")/COUNTA(Table1[Loan_ID])</f>
        <v>0.248</v>
      </c>
    </row>
    <row r="210" spans="1:21" x14ac:dyDescent="0.3">
      <c r="A210" t="s">
        <v>560</v>
      </c>
      <c r="B210" t="s">
        <v>561</v>
      </c>
      <c r="C210">
        <v>49</v>
      </c>
      <c r="D210" t="s">
        <v>21</v>
      </c>
      <c r="E210" t="s">
        <v>22</v>
      </c>
      <c r="F210" t="s">
        <v>23</v>
      </c>
      <c r="G210">
        <v>122927</v>
      </c>
      <c r="H210">
        <v>328001</v>
      </c>
      <c r="I210">
        <v>18</v>
      </c>
      <c r="J210">
        <v>32.64</v>
      </c>
      <c r="K210">
        <v>23287.56</v>
      </c>
      <c r="L210" t="s">
        <v>43</v>
      </c>
      <c r="M210" t="s">
        <v>25</v>
      </c>
      <c r="N210" s="12">
        <v>44705</v>
      </c>
      <c r="Q210">
        <v>426</v>
      </c>
      <c r="R210" t="s">
        <v>46</v>
      </c>
      <c r="S210">
        <v>0</v>
      </c>
      <c r="T210" s="10" t="s">
        <v>1272</v>
      </c>
      <c r="U210" s="23">
        <f>COUNTIF(Table1[Loan_Status],"Defaulted")/COUNTA(Table1[Loan_ID])</f>
        <v>0.248</v>
      </c>
    </row>
    <row r="211" spans="1:21" x14ac:dyDescent="0.3">
      <c r="A211" t="s">
        <v>562</v>
      </c>
      <c r="B211" t="s">
        <v>563</v>
      </c>
      <c r="C211">
        <v>43</v>
      </c>
      <c r="D211" t="s">
        <v>21</v>
      </c>
      <c r="E211" t="s">
        <v>42</v>
      </c>
      <c r="F211" t="s">
        <v>23</v>
      </c>
      <c r="G211">
        <v>79955</v>
      </c>
      <c r="H211">
        <v>150210</v>
      </c>
      <c r="I211">
        <v>3</v>
      </c>
      <c r="J211">
        <v>17.96</v>
      </c>
      <c r="K211">
        <v>51576.18</v>
      </c>
      <c r="L211" t="s">
        <v>24</v>
      </c>
      <c r="M211" t="s">
        <v>32</v>
      </c>
      <c r="N211" s="12">
        <v>45269</v>
      </c>
      <c r="Q211">
        <v>327</v>
      </c>
      <c r="R211" t="s">
        <v>26</v>
      </c>
      <c r="S211">
        <v>104174.31</v>
      </c>
      <c r="T211" s="10" t="s">
        <v>1282</v>
      </c>
      <c r="U211" s="23">
        <f>COUNTIF(Table1[Loan_Status],"Defaulted")/COUNTA(Table1[Loan_ID])</f>
        <v>0.248</v>
      </c>
    </row>
    <row r="212" spans="1:21" x14ac:dyDescent="0.3">
      <c r="A212" t="s">
        <v>564</v>
      </c>
      <c r="B212" t="s">
        <v>565</v>
      </c>
      <c r="C212">
        <v>34</v>
      </c>
      <c r="D212" t="s">
        <v>29</v>
      </c>
      <c r="E212" t="s">
        <v>68</v>
      </c>
      <c r="F212" t="s">
        <v>35</v>
      </c>
      <c r="G212">
        <v>29304</v>
      </c>
      <c r="H212">
        <v>415937</v>
      </c>
      <c r="I212">
        <v>6</v>
      </c>
      <c r="J212">
        <v>23.88</v>
      </c>
      <c r="K212">
        <v>74230.429999999993</v>
      </c>
      <c r="L212" t="s">
        <v>43</v>
      </c>
      <c r="M212" t="s">
        <v>44</v>
      </c>
      <c r="N212" s="12">
        <v>45073</v>
      </c>
      <c r="O212" t="s">
        <v>566</v>
      </c>
      <c r="P212">
        <v>326</v>
      </c>
      <c r="Q212">
        <v>372</v>
      </c>
      <c r="R212" t="s">
        <v>46</v>
      </c>
      <c r="S212">
        <v>0</v>
      </c>
      <c r="T212" s="10" t="s">
        <v>1283</v>
      </c>
      <c r="U212" s="23">
        <f>COUNTIF(Table1[Loan_Status],"Defaulted")/COUNTA(Table1[Loan_ID])</f>
        <v>0.248</v>
      </c>
    </row>
    <row r="213" spans="1:21" x14ac:dyDescent="0.3">
      <c r="A213" t="s">
        <v>567</v>
      </c>
      <c r="B213" t="s">
        <v>568</v>
      </c>
      <c r="C213">
        <v>44</v>
      </c>
      <c r="D213" t="s">
        <v>21</v>
      </c>
      <c r="E213" t="s">
        <v>22</v>
      </c>
      <c r="F213" t="s">
        <v>35</v>
      </c>
      <c r="G213">
        <v>125326</v>
      </c>
      <c r="H213">
        <v>196581</v>
      </c>
      <c r="I213">
        <v>24</v>
      </c>
      <c r="J213">
        <v>28.39</v>
      </c>
      <c r="K213">
        <v>10829.14</v>
      </c>
      <c r="L213" t="s">
        <v>31</v>
      </c>
      <c r="M213" t="s">
        <v>25</v>
      </c>
      <c r="N213" s="12">
        <v>44579</v>
      </c>
      <c r="Q213">
        <v>369</v>
      </c>
      <c r="R213" t="s">
        <v>26</v>
      </c>
      <c r="S213">
        <v>0</v>
      </c>
      <c r="T213" s="10" t="s">
        <v>1262</v>
      </c>
      <c r="U213" s="23">
        <f>COUNTIF(Table1[Loan_Status],"Defaulted")/COUNTA(Table1[Loan_ID])</f>
        <v>0.248</v>
      </c>
    </row>
    <row r="214" spans="1:21" x14ac:dyDescent="0.3">
      <c r="A214" t="s">
        <v>569</v>
      </c>
      <c r="B214" t="s">
        <v>570</v>
      </c>
      <c r="C214">
        <v>23</v>
      </c>
      <c r="D214" t="s">
        <v>29</v>
      </c>
      <c r="E214" t="s">
        <v>68</v>
      </c>
      <c r="F214" t="s">
        <v>35</v>
      </c>
      <c r="G214">
        <v>146346</v>
      </c>
      <c r="H214">
        <v>407186</v>
      </c>
      <c r="I214">
        <v>18</v>
      </c>
      <c r="J214">
        <v>22.17</v>
      </c>
      <c r="K214">
        <v>26797.35</v>
      </c>
      <c r="L214" t="s">
        <v>31</v>
      </c>
      <c r="M214" t="s">
        <v>25</v>
      </c>
      <c r="N214" s="12">
        <v>45217</v>
      </c>
      <c r="Q214">
        <v>849</v>
      </c>
      <c r="R214" t="s">
        <v>46</v>
      </c>
      <c r="S214">
        <v>0</v>
      </c>
      <c r="T214" s="10" t="s">
        <v>1279</v>
      </c>
      <c r="U214" s="23">
        <f>COUNTIF(Table1[Loan_Status],"Defaulted")/COUNTA(Table1[Loan_ID])</f>
        <v>0.248</v>
      </c>
    </row>
    <row r="215" spans="1:21" x14ac:dyDescent="0.3">
      <c r="A215" t="s">
        <v>571</v>
      </c>
      <c r="B215" t="s">
        <v>572</v>
      </c>
      <c r="C215">
        <v>38</v>
      </c>
      <c r="D215" t="s">
        <v>29</v>
      </c>
      <c r="E215" t="s">
        <v>42</v>
      </c>
      <c r="F215" t="s">
        <v>23</v>
      </c>
      <c r="G215">
        <v>149035</v>
      </c>
      <c r="H215">
        <v>487829</v>
      </c>
      <c r="I215">
        <v>6</v>
      </c>
      <c r="J215">
        <v>35.380000000000003</v>
      </c>
      <c r="K215">
        <v>89897.87</v>
      </c>
      <c r="L215" t="s">
        <v>39</v>
      </c>
      <c r="M215" t="s">
        <v>32</v>
      </c>
      <c r="N215" s="12">
        <v>44962</v>
      </c>
      <c r="Q215">
        <v>367</v>
      </c>
      <c r="R215" t="s">
        <v>26</v>
      </c>
      <c r="S215">
        <v>154699.67000000001</v>
      </c>
      <c r="T215" s="10" t="s">
        <v>1277</v>
      </c>
      <c r="U215" s="23">
        <f>COUNTIF(Table1[Loan_Status],"Defaulted")/COUNTA(Table1[Loan_ID])</f>
        <v>0.248</v>
      </c>
    </row>
    <row r="216" spans="1:21" x14ac:dyDescent="0.3">
      <c r="A216" t="s">
        <v>573</v>
      </c>
      <c r="B216" t="s">
        <v>574</v>
      </c>
      <c r="C216">
        <v>36</v>
      </c>
      <c r="D216" t="s">
        <v>29</v>
      </c>
      <c r="E216" t="s">
        <v>22</v>
      </c>
      <c r="F216" t="s">
        <v>23</v>
      </c>
      <c r="G216">
        <v>128897</v>
      </c>
      <c r="H216">
        <v>65810</v>
      </c>
      <c r="I216">
        <v>18</v>
      </c>
      <c r="J216">
        <v>26.7</v>
      </c>
      <c r="K216">
        <v>4476.9799999999996</v>
      </c>
      <c r="L216" t="s">
        <v>43</v>
      </c>
      <c r="M216" t="s">
        <v>32</v>
      </c>
      <c r="N216" s="12">
        <v>45244</v>
      </c>
      <c r="Q216">
        <v>479</v>
      </c>
      <c r="R216" t="s">
        <v>26</v>
      </c>
      <c r="S216">
        <v>12083.38</v>
      </c>
      <c r="T216" s="10" t="s">
        <v>1273</v>
      </c>
      <c r="U216" s="23">
        <f>COUNTIF(Table1[Loan_Status],"Defaulted")/COUNTA(Table1[Loan_ID])</f>
        <v>0.248</v>
      </c>
    </row>
    <row r="217" spans="1:21" x14ac:dyDescent="0.3">
      <c r="A217" t="s">
        <v>576</v>
      </c>
      <c r="B217" t="s">
        <v>577</v>
      </c>
      <c r="C217">
        <v>21</v>
      </c>
      <c r="D217" t="s">
        <v>29</v>
      </c>
      <c r="E217" t="s">
        <v>68</v>
      </c>
      <c r="F217" t="s">
        <v>35</v>
      </c>
      <c r="G217">
        <v>82960</v>
      </c>
      <c r="H217">
        <v>92536</v>
      </c>
      <c r="I217">
        <v>12</v>
      </c>
      <c r="J217">
        <v>15.05</v>
      </c>
      <c r="K217">
        <v>8354.33</v>
      </c>
      <c r="L217" t="s">
        <v>36</v>
      </c>
      <c r="M217" t="s">
        <v>25</v>
      </c>
      <c r="N217" s="12">
        <v>44592</v>
      </c>
      <c r="Q217">
        <v>643</v>
      </c>
      <c r="R217" t="s">
        <v>46</v>
      </c>
      <c r="S217">
        <v>0</v>
      </c>
      <c r="T217" s="10" t="s">
        <v>1262</v>
      </c>
      <c r="U217" s="23">
        <f>COUNTIF(Table1[Loan_Status],"Defaulted")/COUNTA(Table1[Loan_ID])</f>
        <v>0.248</v>
      </c>
    </row>
    <row r="218" spans="1:21" x14ac:dyDescent="0.3">
      <c r="A218" t="s">
        <v>578</v>
      </c>
      <c r="B218" t="s">
        <v>579</v>
      </c>
      <c r="C218">
        <v>54</v>
      </c>
      <c r="D218" t="s">
        <v>29</v>
      </c>
      <c r="E218" t="s">
        <v>42</v>
      </c>
      <c r="F218" t="s">
        <v>23</v>
      </c>
      <c r="G218">
        <v>145062</v>
      </c>
      <c r="H218">
        <v>243654</v>
      </c>
      <c r="I218">
        <v>24</v>
      </c>
      <c r="J218">
        <v>20.64</v>
      </c>
      <c r="K218">
        <v>12477.28</v>
      </c>
      <c r="L218" t="s">
        <v>31</v>
      </c>
      <c r="M218" t="s">
        <v>44</v>
      </c>
      <c r="N218" s="12">
        <v>44938</v>
      </c>
      <c r="O218" t="s">
        <v>580</v>
      </c>
      <c r="P218">
        <v>161</v>
      </c>
      <c r="Q218">
        <v>561</v>
      </c>
      <c r="R218" t="s">
        <v>46</v>
      </c>
      <c r="S218">
        <v>0</v>
      </c>
      <c r="T218" s="10" t="s">
        <v>1266</v>
      </c>
      <c r="U218" s="23">
        <f>COUNTIF(Table1[Loan_Status],"Defaulted")/COUNTA(Table1[Loan_ID])</f>
        <v>0.248</v>
      </c>
    </row>
    <row r="219" spans="1:21" x14ac:dyDescent="0.3">
      <c r="A219" t="s">
        <v>581</v>
      </c>
      <c r="B219" t="s">
        <v>582</v>
      </c>
      <c r="C219">
        <v>35</v>
      </c>
      <c r="D219" t="s">
        <v>29</v>
      </c>
      <c r="E219" t="s">
        <v>49</v>
      </c>
      <c r="F219" t="s">
        <v>23</v>
      </c>
      <c r="G219">
        <v>79107</v>
      </c>
      <c r="H219">
        <v>29107</v>
      </c>
      <c r="I219">
        <v>18</v>
      </c>
      <c r="J219">
        <v>20.74</v>
      </c>
      <c r="K219">
        <v>1895.43</v>
      </c>
      <c r="L219" t="s">
        <v>39</v>
      </c>
      <c r="M219" t="s">
        <v>44</v>
      </c>
      <c r="N219" s="12">
        <v>44598</v>
      </c>
      <c r="O219" t="s">
        <v>583</v>
      </c>
      <c r="P219">
        <v>566</v>
      </c>
      <c r="Q219">
        <v>729</v>
      </c>
      <c r="R219" t="s">
        <v>46</v>
      </c>
      <c r="S219">
        <v>0</v>
      </c>
      <c r="T219" s="10" t="s">
        <v>1263</v>
      </c>
      <c r="U219" s="23">
        <f>COUNTIF(Table1[Loan_Status],"Defaulted")/COUNTA(Table1[Loan_ID])</f>
        <v>0.248</v>
      </c>
    </row>
    <row r="220" spans="1:21" x14ac:dyDescent="0.3">
      <c r="A220" t="s">
        <v>584</v>
      </c>
      <c r="B220" t="s">
        <v>585</v>
      </c>
      <c r="C220">
        <v>47</v>
      </c>
      <c r="D220" t="s">
        <v>21</v>
      </c>
      <c r="E220" t="s">
        <v>42</v>
      </c>
      <c r="F220" t="s">
        <v>23</v>
      </c>
      <c r="G220">
        <v>112729</v>
      </c>
      <c r="H220">
        <v>67600</v>
      </c>
      <c r="I220">
        <v>24</v>
      </c>
      <c r="J220">
        <v>28.16</v>
      </c>
      <c r="K220">
        <v>3715.98</v>
      </c>
      <c r="L220" t="s">
        <v>43</v>
      </c>
      <c r="M220" t="s">
        <v>44</v>
      </c>
      <c r="N220" s="12">
        <v>44790</v>
      </c>
      <c r="O220" t="s">
        <v>586</v>
      </c>
      <c r="P220">
        <v>528</v>
      </c>
      <c r="Q220">
        <v>347</v>
      </c>
      <c r="R220" t="s">
        <v>46</v>
      </c>
      <c r="S220">
        <v>0</v>
      </c>
      <c r="T220" s="10" t="s">
        <v>1275</v>
      </c>
      <c r="U220" s="23">
        <f>COUNTIF(Table1[Loan_Status],"Defaulted")/COUNTA(Table1[Loan_ID])</f>
        <v>0.248</v>
      </c>
    </row>
    <row r="221" spans="1:21" x14ac:dyDescent="0.3">
      <c r="A221" t="s">
        <v>587</v>
      </c>
      <c r="B221" t="s">
        <v>588</v>
      </c>
      <c r="C221">
        <v>50</v>
      </c>
      <c r="D221" t="s">
        <v>21</v>
      </c>
      <c r="E221" t="s">
        <v>42</v>
      </c>
      <c r="F221" t="s">
        <v>35</v>
      </c>
      <c r="G221">
        <v>37645</v>
      </c>
      <c r="H221">
        <v>294979</v>
      </c>
      <c r="I221">
        <v>18</v>
      </c>
      <c r="J221">
        <v>12.19</v>
      </c>
      <c r="K221">
        <v>18014.47</v>
      </c>
      <c r="L221" t="s">
        <v>39</v>
      </c>
      <c r="M221" t="s">
        <v>32</v>
      </c>
      <c r="N221" s="12">
        <v>45139</v>
      </c>
      <c r="Q221">
        <v>611</v>
      </c>
      <c r="R221" t="s">
        <v>26</v>
      </c>
      <c r="S221">
        <v>182209.47</v>
      </c>
      <c r="T221" s="10" t="s">
        <v>1261</v>
      </c>
      <c r="U221" s="23">
        <f>COUNTIF(Table1[Loan_Status],"Defaulted")/COUNTA(Table1[Loan_ID])</f>
        <v>0.248</v>
      </c>
    </row>
    <row r="222" spans="1:21" x14ac:dyDescent="0.3">
      <c r="A222" t="s">
        <v>589</v>
      </c>
      <c r="B222" t="s">
        <v>590</v>
      </c>
      <c r="C222">
        <v>50</v>
      </c>
      <c r="D222" t="s">
        <v>21</v>
      </c>
      <c r="E222" t="s">
        <v>30</v>
      </c>
      <c r="F222" t="s">
        <v>35</v>
      </c>
      <c r="G222">
        <v>66228</v>
      </c>
      <c r="H222">
        <v>389021</v>
      </c>
      <c r="I222">
        <v>24</v>
      </c>
      <c r="J222">
        <v>30.25</v>
      </c>
      <c r="K222">
        <v>21801.35</v>
      </c>
      <c r="L222" t="s">
        <v>39</v>
      </c>
      <c r="M222" t="s">
        <v>44</v>
      </c>
      <c r="N222" s="12">
        <v>44568</v>
      </c>
      <c r="O222" t="s">
        <v>202</v>
      </c>
      <c r="P222">
        <v>419</v>
      </c>
      <c r="Q222">
        <v>324</v>
      </c>
      <c r="R222" t="s">
        <v>46</v>
      </c>
      <c r="S222">
        <v>0</v>
      </c>
      <c r="T222" s="10" t="s">
        <v>1262</v>
      </c>
      <c r="U222" s="23">
        <f>COUNTIF(Table1[Loan_Status],"Defaulted")/COUNTA(Table1[Loan_ID])</f>
        <v>0.248</v>
      </c>
    </row>
    <row r="223" spans="1:21" x14ac:dyDescent="0.3">
      <c r="A223" t="s">
        <v>591</v>
      </c>
      <c r="B223" t="s">
        <v>592</v>
      </c>
      <c r="C223">
        <v>21</v>
      </c>
      <c r="D223" t="s">
        <v>21</v>
      </c>
      <c r="E223" t="s">
        <v>49</v>
      </c>
      <c r="F223" t="s">
        <v>35</v>
      </c>
      <c r="G223">
        <v>95612</v>
      </c>
      <c r="H223">
        <v>59499</v>
      </c>
      <c r="I223">
        <v>6</v>
      </c>
      <c r="J223">
        <v>24.72</v>
      </c>
      <c r="K223">
        <v>10643.63</v>
      </c>
      <c r="L223" t="s">
        <v>39</v>
      </c>
      <c r="M223" t="s">
        <v>54</v>
      </c>
      <c r="N223" s="12">
        <v>45065</v>
      </c>
      <c r="O223" t="s">
        <v>593</v>
      </c>
      <c r="P223">
        <v>30</v>
      </c>
      <c r="Q223">
        <v>445</v>
      </c>
      <c r="R223" t="s">
        <v>26</v>
      </c>
      <c r="S223">
        <v>0</v>
      </c>
      <c r="T223" s="10" t="s">
        <v>1283</v>
      </c>
      <c r="U223" s="23">
        <f>COUNTIF(Table1[Loan_Status],"Defaulted")/COUNTA(Table1[Loan_ID])</f>
        <v>0.248</v>
      </c>
    </row>
    <row r="224" spans="1:21" x14ac:dyDescent="0.3">
      <c r="A224" t="s">
        <v>594</v>
      </c>
      <c r="B224" t="s">
        <v>595</v>
      </c>
      <c r="C224">
        <v>26</v>
      </c>
      <c r="D224" t="s">
        <v>29</v>
      </c>
      <c r="E224" t="s">
        <v>22</v>
      </c>
      <c r="F224" t="s">
        <v>35</v>
      </c>
      <c r="G224">
        <v>112646</v>
      </c>
      <c r="H224">
        <v>245364</v>
      </c>
      <c r="I224">
        <v>3</v>
      </c>
      <c r="J224">
        <v>25.94</v>
      </c>
      <c r="K224">
        <v>85349.17</v>
      </c>
      <c r="L224" t="s">
        <v>24</v>
      </c>
      <c r="M224" t="s">
        <v>44</v>
      </c>
      <c r="N224" s="12">
        <v>45214</v>
      </c>
      <c r="O224" t="s">
        <v>250</v>
      </c>
      <c r="P224">
        <v>201</v>
      </c>
      <c r="Q224">
        <v>376</v>
      </c>
      <c r="R224" t="s">
        <v>46</v>
      </c>
      <c r="S224">
        <v>0</v>
      </c>
      <c r="T224" s="10" t="s">
        <v>1279</v>
      </c>
      <c r="U224" s="23">
        <f>COUNTIF(Table1[Loan_Status],"Defaulted")/COUNTA(Table1[Loan_ID])</f>
        <v>0.248</v>
      </c>
    </row>
    <row r="225" spans="1:21" x14ac:dyDescent="0.3">
      <c r="A225" t="s">
        <v>596</v>
      </c>
      <c r="B225" t="s">
        <v>597</v>
      </c>
      <c r="C225">
        <v>48</v>
      </c>
      <c r="D225" t="s">
        <v>29</v>
      </c>
      <c r="E225" t="s">
        <v>22</v>
      </c>
      <c r="F225" t="s">
        <v>35</v>
      </c>
      <c r="G225">
        <v>83417</v>
      </c>
      <c r="H225">
        <v>451123</v>
      </c>
      <c r="I225">
        <v>12</v>
      </c>
      <c r="J225">
        <v>34.229999999999997</v>
      </c>
      <c r="K225">
        <v>44922.63</v>
      </c>
      <c r="L225" t="s">
        <v>31</v>
      </c>
      <c r="M225" t="s">
        <v>32</v>
      </c>
      <c r="N225" s="12">
        <v>44887</v>
      </c>
      <c r="Q225">
        <v>763</v>
      </c>
      <c r="R225" t="s">
        <v>26</v>
      </c>
      <c r="S225">
        <v>130992.18</v>
      </c>
      <c r="T225" s="10" t="s">
        <v>1269</v>
      </c>
      <c r="U225" s="23">
        <f>COUNTIF(Table1[Loan_Status],"Defaulted")/COUNTA(Table1[Loan_ID])</f>
        <v>0.248</v>
      </c>
    </row>
    <row r="226" spans="1:21" x14ac:dyDescent="0.3">
      <c r="A226" t="s">
        <v>598</v>
      </c>
      <c r="B226" t="s">
        <v>599</v>
      </c>
      <c r="C226">
        <v>33</v>
      </c>
      <c r="D226" t="s">
        <v>29</v>
      </c>
      <c r="E226" t="s">
        <v>30</v>
      </c>
      <c r="F226" t="s">
        <v>23</v>
      </c>
      <c r="G226">
        <v>55739</v>
      </c>
      <c r="H226">
        <v>60395</v>
      </c>
      <c r="I226">
        <v>6</v>
      </c>
      <c r="J226">
        <v>22.79</v>
      </c>
      <c r="K226">
        <v>10745.41</v>
      </c>
      <c r="L226" t="s">
        <v>36</v>
      </c>
      <c r="M226" t="s">
        <v>54</v>
      </c>
      <c r="N226" s="12">
        <v>44685</v>
      </c>
      <c r="O226" t="s">
        <v>45</v>
      </c>
      <c r="P226">
        <v>548</v>
      </c>
      <c r="Q226">
        <v>666</v>
      </c>
      <c r="R226" t="s">
        <v>26</v>
      </c>
      <c r="S226">
        <v>0</v>
      </c>
      <c r="T226" s="10" t="s">
        <v>1272</v>
      </c>
      <c r="U226" s="23">
        <f>COUNTIF(Table1[Loan_Status],"Defaulted")/COUNTA(Table1[Loan_ID])</f>
        <v>0.248</v>
      </c>
    </row>
    <row r="227" spans="1:21" x14ac:dyDescent="0.3">
      <c r="A227" t="s">
        <v>600</v>
      </c>
      <c r="B227" t="s">
        <v>601</v>
      </c>
      <c r="C227">
        <v>49</v>
      </c>
      <c r="D227" t="s">
        <v>21</v>
      </c>
      <c r="E227" t="s">
        <v>68</v>
      </c>
      <c r="F227" t="s">
        <v>35</v>
      </c>
      <c r="G227">
        <v>46434</v>
      </c>
      <c r="H227">
        <v>52406</v>
      </c>
      <c r="I227">
        <v>6</v>
      </c>
      <c r="J227">
        <v>31.38</v>
      </c>
      <c r="K227">
        <v>9550.93</v>
      </c>
      <c r="L227" t="s">
        <v>36</v>
      </c>
      <c r="M227" t="s">
        <v>25</v>
      </c>
      <c r="N227" s="12">
        <v>44782</v>
      </c>
      <c r="Q227">
        <v>635</v>
      </c>
      <c r="R227" t="s">
        <v>26</v>
      </c>
      <c r="S227">
        <v>0</v>
      </c>
      <c r="T227" s="10" t="s">
        <v>1275</v>
      </c>
      <c r="U227" s="23">
        <f>COUNTIF(Table1[Loan_Status],"Defaulted")/COUNTA(Table1[Loan_ID])</f>
        <v>0.248</v>
      </c>
    </row>
    <row r="228" spans="1:21" x14ac:dyDescent="0.3">
      <c r="A228" t="s">
        <v>602</v>
      </c>
      <c r="B228" t="s">
        <v>603</v>
      </c>
      <c r="C228">
        <v>43</v>
      </c>
      <c r="D228" t="s">
        <v>21</v>
      </c>
      <c r="E228" t="s">
        <v>30</v>
      </c>
      <c r="F228" t="s">
        <v>23</v>
      </c>
      <c r="G228">
        <v>93339</v>
      </c>
      <c r="H228">
        <v>141402</v>
      </c>
      <c r="I228">
        <v>6</v>
      </c>
      <c r="J228">
        <v>12.75</v>
      </c>
      <c r="K228">
        <v>24451.119999999999</v>
      </c>
      <c r="L228" t="s">
        <v>31</v>
      </c>
      <c r="M228" t="s">
        <v>54</v>
      </c>
      <c r="N228" s="12">
        <v>45131</v>
      </c>
      <c r="O228" t="s">
        <v>604</v>
      </c>
      <c r="P228">
        <v>281</v>
      </c>
      <c r="Q228">
        <v>555</v>
      </c>
      <c r="R228" t="s">
        <v>26</v>
      </c>
      <c r="S228">
        <v>0</v>
      </c>
      <c r="T228" s="10" t="s">
        <v>1265</v>
      </c>
      <c r="U228" s="23">
        <f>COUNTIF(Table1[Loan_Status],"Defaulted")/COUNTA(Table1[Loan_ID])</f>
        <v>0.248</v>
      </c>
    </row>
    <row r="229" spans="1:21" x14ac:dyDescent="0.3">
      <c r="A229" t="s">
        <v>605</v>
      </c>
      <c r="B229" t="s">
        <v>606</v>
      </c>
      <c r="C229">
        <v>50</v>
      </c>
      <c r="D229" t="s">
        <v>29</v>
      </c>
      <c r="E229" t="s">
        <v>22</v>
      </c>
      <c r="F229" t="s">
        <v>23</v>
      </c>
      <c r="G229">
        <v>18134</v>
      </c>
      <c r="H229">
        <v>37332</v>
      </c>
      <c r="I229">
        <v>6</v>
      </c>
      <c r="J229">
        <v>15.14</v>
      </c>
      <c r="K229">
        <v>6499.62</v>
      </c>
      <c r="L229" t="s">
        <v>31</v>
      </c>
      <c r="M229" t="s">
        <v>32</v>
      </c>
      <c r="N229" s="12">
        <v>45264</v>
      </c>
      <c r="Q229">
        <v>386</v>
      </c>
      <c r="R229" t="s">
        <v>26</v>
      </c>
      <c r="S229">
        <v>18950.72</v>
      </c>
      <c r="T229" s="10" t="s">
        <v>1282</v>
      </c>
      <c r="U229" s="23">
        <f>COUNTIF(Table1[Loan_Status],"Defaulted")/COUNTA(Table1[Loan_ID])</f>
        <v>0.248</v>
      </c>
    </row>
    <row r="230" spans="1:21" x14ac:dyDescent="0.3">
      <c r="A230" t="s">
        <v>607</v>
      </c>
      <c r="B230" t="s">
        <v>608</v>
      </c>
      <c r="C230">
        <v>25</v>
      </c>
      <c r="D230" t="s">
        <v>29</v>
      </c>
      <c r="E230" t="s">
        <v>49</v>
      </c>
      <c r="F230" t="s">
        <v>23</v>
      </c>
      <c r="G230">
        <v>131242</v>
      </c>
      <c r="H230">
        <v>429305</v>
      </c>
      <c r="I230">
        <v>6</v>
      </c>
      <c r="J230">
        <v>14.21</v>
      </c>
      <c r="K230">
        <v>74545.41</v>
      </c>
      <c r="L230" t="s">
        <v>36</v>
      </c>
      <c r="M230" t="s">
        <v>25</v>
      </c>
      <c r="N230" s="12">
        <v>44605</v>
      </c>
      <c r="Q230">
        <v>772</v>
      </c>
      <c r="R230" t="s">
        <v>26</v>
      </c>
      <c r="S230">
        <v>0</v>
      </c>
      <c r="T230" s="10" t="s">
        <v>1263</v>
      </c>
      <c r="U230" s="23">
        <f>COUNTIF(Table1[Loan_Status],"Defaulted")/COUNTA(Table1[Loan_ID])</f>
        <v>0.248</v>
      </c>
    </row>
    <row r="231" spans="1:21" x14ac:dyDescent="0.3">
      <c r="A231" t="s">
        <v>609</v>
      </c>
      <c r="B231" t="s">
        <v>610</v>
      </c>
      <c r="C231">
        <v>46</v>
      </c>
      <c r="D231" t="s">
        <v>21</v>
      </c>
      <c r="E231" t="s">
        <v>49</v>
      </c>
      <c r="F231" t="s">
        <v>35</v>
      </c>
      <c r="G231">
        <v>126847</v>
      </c>
      <c r="H231">
        <v>95600</v>
      </c>
      <c r="I231">
        <v>12</v>
      </c>
      <c r="J231">
        <v>17.149999999999999</v>
      </c>
      <c r="K231">
        <v>8725.98</v>
      </c>
      <c r="L231" t="s">
        <v>39</v>
      </c>
      <c r="M231" t="s">
        <v>32</v>
      </c>
      <c r="N231" s="12">
        <v>44848</v>
      </c>
      <c r="Q231">
        <v>756</v>
      </c>
      <c r="R231" t="s">
        <v>26</v>
      </c>
      <c r="S231">
        <v>68678.720000000001</v>
      </c>
      <c r="T231" s="10" t="s">
        <v>1267</v>
      </c>
      <c r="U231" s="23">
        <f>COUNTIF(Table1[Loan_Status],"Defaulted")/COUNTA(Table1[Loan_ID])</f>
        <v>0.248</v>
      </c>
    </row>
    <row r="232" spans="1:21" x14ac:dyDescent="0.3">
      <c r="A232" t="s">
        <v>611</v>
      </c>
      <c r="B232" t="s">
        <v>612</v>
      </c>
      <c r="C232">
        <v>36</v>
      </c>
      <c r="D232" t="s">
        <v>21</v>
      </c>
      <c r="E232" t="s">
        <v>68</v>
      </c>
      <c r="F232" t="s">
        <v>35</v>
      </c>
      <c r="G232">
        <v>140575</v>
      </c>
      <c r="H232">
        <v>36970</v>
      </c>
      <c r="I232">
        <v>3</v>
      </c>
      <c r="J232">
        <v>18.71</v>
      </c>
      <c r="K232">
        <v>12709.6</v>
      </c>
      <c r="L232" t="s">
        <v>39</v>
      </c>
      <c r="M232" t="s">
        <v>54</v>
      </c>
      <c r="N232" s="12">
        <v>44766</v>
      </c>
      <c r="O232" t="s">
        <v>613</v>
      </c>
      <c r="P232">
        <v>658</v>
      </c>
      <c r="Q232">
        <v>838</v>
      </c>
      <c r="R232" t="s">
        <v>26</v>
      </c>
      <c r="S232">
        <v>0</v>
      </c>
      <c r="T232" s="10" t="s">
        <v>1281</v>
      </c>
      <c r="U232" s="23">
        <f>COUNTIF(Table1[Loan_Status],"Defaulted")/COUNTA(Table1[Loan_ID])</f>
        <v>0.248</v>
      </c>
    </row>
    <row r="233" spans="1:21" x14ac:dyDescent="0.3">
      <c r="A233" t="s">
        <v>614</v>
      </c>
      <c r="B233" t="s">
        <v>615</v>
      </c>
      <c r="C233">
        <v>55</v>
      </c>
      <c r="D233" t="s">
        <v>29</v>
      </c>
      <c r="E233" t="s">
        <v>68</v>
      </c>
      <c r="F233" t="s">
        <v>35</v>
      </c>
      <c r="G233">
        <v>140746</v>
      </c>
      <c r="H233">
        <v>290484</v>
      </c>
      <c r="I233">
        <v>18</v>
      </c>
      <c r="J233">
        <v>20.260000000000002</v>
      </c>
      <c r="K233">
        <v>18849</v>
      </c>
      <c r="L233" t="s">
        <v>24</v>
      </c>
      <c r="M233" t="s">
        <v>32</v>
      </c>
      <c r="N233" s="12">
        <v>44959</v>
      </c>
      <c r="Q233">
        <v>576</v>
      </c>
      <c r="R233" t="s">
        <v>26</v>
      </c>
      <c r="S233">
        <v>65611.94</v>
      </c>
      <c r="T233" s="10" t="s">
        <v>1277</v>
      </c>
      <c r="U233" s="23">
        <f>COUNTIF(Table1[Loan_Status],"Defaulted")/COUNTA(Table1[Loan_ID])</f>
        <v>0.248</v>
      </c>
    </row>
    <row r="234" spans="1:21" x14ac:dyDescent="0.3">
      <c r="A234" t="s">
        <v>616</v>
      </c>
      <c r="B234" t="s">
        <v>617</v>
      </c>
      <c r="C234">
        <v>35</v>
      </c>
      <c r="D234" t="s">
        <v>29</v>
      </c>
      <c r="E234" t="s">
        <v>42</v>
      </c>
      <c r="F234" t="s">
        <v>23</v>
      </c>
      <c r="G234">
        <v>138649</v>
      </c>
      <c r="H234">
        <v>282574</v>
      </c>
      <c r="I234">
        <v>12</v>
      </c>
      <c r="J234">
        <v>30.4</v>
      </c>
      <c r="K234">
        <v>27602.959999999999</v>
      </c>
      <c r="L234" t="s">
        <v>39</v>
      </c>
      <c r="M234" t="s">
        <v>44</v>
      </c>
      <c r="N234" s="12">
        <v>44664</v>
      </c>
      <c r="O234" t="s">
        <v>618</v>
      </c>
      <c r="P234">
        <v>253</v>
      </c>
      <c r="Q234">
        <v>546</v>
      </c>
      <c r="R234" t="s">
        <v>46</v>
      </c>
      <c r="S234">
        <v>0</v>
      </c>
      <c r="T234" s="10" t="s">
        <v>1274</v>
      </c>
      <c r="U234" s="23">
        <f>COUNTIF(Table1[Loan_Status],"Defaulted")/COUNTA(Table1[Loan_ID])</f>
        <v>0.248</v>
      </c>
    </row>
    <row r="235" spans="1:21" x14ac:dyDescent="0.3">
      <c r="A235" t="s">
        <v>619</v>
      </c>
      <c r="B235" t="s">
        <v>620</v>
      </c>
      <c r="C235">
        <v>35</v>
      </c>
      <c r="D235" t="s">
        <v>21</v>
      </c>
      <c r="E235" t="s">
        <v>42</v>
      </c>
      <c r="F235" t="s">
        <v>23</v>
      </c>
      <c r="G235">
        <v>61163</v>
      </c>
      <c r="H235">
        <v>129020</v>
      </c>
      <c r="I235">
        <v>24</v>
      </c>
      <c r="J235">
        <v>19.63</v>
      </c>
      <c r="K235">
        <v>6543.28</v>
      </c>
      <c r="L235" t="s">
        <v>36</v>
      </c>
      <c r="M235" t="s">
        <v>25</v>
      </c>
      <c r="N235" s="12">
        <v>45282</v>
      </c>
      <c r="Q235">
        <v>660</v>
      </c>
      <c r="R235" t="s">
        <v>46</v>
      </c>
      <c r="S235">
        <v>0</v>
      </c>
      <c r="T235" s="10" t="s">
        <v>1282</v>
      </c>
      <c r="U235" s="23">
        <f>COUNTIF(Table1[Loan_Status],"Defaulted")/COUNTA(Table1[Loan_ID])</f>
        <v>0.248</v>
      </c>
    </row>
    <row r="236" spans="1:21" x14ac:dyDescent="0.3">
      <c r="A236" t="s">
        <v>622</v>
      </c>
      <c r="B236" t="s">
        <v>623</v>
      </c>
      <c r="C236">
        <v>33</v>
      </c>
      <c r="D236" t="s">
        <v>21</v>
      </c>
      <c r="E236" t="s">
        <v>30</v>
      </c>
      <c r="F236" t="s">
        <v>35</v>
      </c>
      <c r="G236">
        <v>61021</v>
      </c>
      <c r="H236">
        <v>262129</v>
      </c>
      <c r="I236">
        <v>3</v>
      </c>
      <c r="J236">
        <v>14.17</v>
      </c>
      <c r="K236">
        <v>89447.95</v>
      </c>
      <c r="L236" t="s">
        <v>39</v>
      </c>
      <c r="M236" t="s">
        <v>44</v>
      </c>
      <c r="N236" s="12">
        <v>44582</v>
      </c>
      <c r="O236" t="s">
        <v>624</v>
      </c>
      <c r="P236">
        <v>539</v>
      </c>
      <c r="Q236">
        <v>789</v>
      </c>
      <c r="R236" t="s">
        <v>26</v>
      </c>
      <c r="S236">
        <v>0</v>
      </c>
      <c r="T236" s="10" t="s">
        <v>1262</v>
      </c>
      <c r="U236" s="23">
        <f>COUNTIF(Table1[Loan_Status],"Defaulted")/COUNTA(Table1[Loan_ID])</f>
        <v>0.248</v>
      </c>
    </row>
    <row r="237" spans="1:21" x14ac:dyDescent="0.3">
      <c r="A237" t="s">
        <v>625</v>
      </c>
      <c r="B237" t="s">
        <v>626</v>
      </c>
      <c r="C237">
        <v>29</v>
      </c>
      <c r="D237" t="s">
        <v>21</v>
      </c>
      <c r="E237" t="s">
        <v>22</v>
      </c>
      <c r="F237" t="s">
        <v>35</v>
      </c>
      <c r="G237">
        <v>30612</v>
      </c>
      <c r="H237">
        <v>16488</v>
      </c>
      <c r="I237">
        <v>6</v>
      </c>
      <c r="J237">
        <v>26.08</v>
      </c>
      <c r="K237">
        <v>2960.78</v>
      </c>
      <c r="L237" t="s">
        <v>39</v>
      </c>
      <c r="M237" t="s">
        <v>25</v>
      </c>
      <c r="N237" s="12">
        <v>45100</v>
      </c>
      <c r="Q237">
        <v>673</v>
      </c>
      <c r="R237" t="s">
        <v>46</v>
      </c>
      <c r="S237">
        <v>0</v>
      </c>
      <c r="T237" s="10" t="s">
        <v>1276</v>
      </c>
      <c r="U237" s="23">
        <f>COUNTIF(Table1[Loan_Status],"Defaulted")/COUNTA(Table1[Loan_ID])</f>
        <v>0.248</v>
      </c>
    </row>
    <row r="238" spans="1:21" x14ac:dyDescent="0.3">
      <c r="A238" t="s">
        <v>627</v>
      </c>
      <c r="B238" t="s">
        <v>628</v>
      </c>
      <c r="C238">
        <v>46</v>
      </c>
      <c r="D238" t="s">
        <v>29</v>
      </c>
      <c r="E238" t="s">
        <v>42</v>
      </c>
      <c r="F238" t="s">
        <v>35</v>
      </c>
      <c r="G238">
        <v>99568</v>
      </c>
      <c r="H238">
        <v>76539</v>
      </c>
      <c r="I238">
        <v>6</v>
      </c>
      <c r="J238">
        <v>29.58</v>
      </c>
      <c r="K238">
        <v>13879.39</v>
      </c>
      <c r="L238" t="s">
        <v>31</v>
      </c>
      <c r="M238" t="s">
        <v>54</v>
      </c>
      <c r="N238" s="12">
        <v>45226</v>
      </c>
      <c r="O238" t="s">
        <v>629</v>
      </c>
      <c r="P238">
        <v>81</v>
      </c>
      <c r="Q238">
        <v>478</v>
      </c>
      <c r="R238" t="s">
        <v>26</v>
      </c>
      <c r="S238">
        <v>0</v>
      </c>
      <c r="T238" s="10" t="s">
        <v>1279</v>
      </c>
      <c r="U238" s="23">
        <f>COUNTIF(Table1[Loan_Status],"Defaulted")/COUNTA(Table1[Loan_ID])</f>
        <v>0.248</v>
      </c>
    </row>
    <row r="239" spans="1:21" x14ac:dyDescent="0.3">
      <c r="A239" t="s">
        <v>630</v>
      </c>
      <c r="B239" t="s">
        <v>631</v>
      </c>
      <c r="C239">
        <v>35</v>
      </c>
      <c r="D239" t="s">
        <v>29</v>
      </c>
      <c r="E239" t="s">
        <v>68</v>
      </c>
      <c r="F239" t="s">
        <v>35</v>
      </c>
      <c r="G239">
        <v>92205</v>
      </c>
      <c r="H239">
        <v>71767</v>
      </c>
      <c r="I239">
        <v>6</v>
      </c>
      <c r="J239">
        <v>29.49</v>
      </c>
      <c r="K239">
        <v>13010.78</v>
      </c>
      <c r="L239" t="s">
        <v>24</v>
      </c>
      <c r="M239" t="s">
        <v>54</v>
      </c>
      <c r="N239" s="12">
        <v>45143</v>
      </c>
      <c r="O239" t="s">
        <v>55</v>
      </c>
      <c r="P239">
        <v>16</v>
      </c>
      <c r="Q239">
        <v>486</v>
      </c>
      <c r="R239" t="s">
        <v>26</v>
      </c>
      <c r="S239">
        <v>0</v>
      </c>
      <c r="T239" s="10" t="s">
        <v>1261</v>
      </c>
      <c r="U239" s="23">
        <f>COUNTIF(Table1[Loan_Status],"Defaulted")/COUNTA(Table1[Loan_ID])</f>
        <v>0.248</v>
      </c>
    </row>
    <row r="240" spans="1:21" x14ac:dyDescent="0.3">
      <c r="A240" t="s">
        <v>632</v>
      </c>
      <c r="B240" t="s">
        <v>633</v>
      </c>
      <c r="C240">
        <v>35</v>
      </c>
      <c r="D240" t="s">
        <v>29</v>
      </c>
      <c r="E240" t="s">
        <v>68</v>
      </c>
      <c r="F240" t="s">
        <v>23</v>
      </c>
      <c r="G240">
        <v>101813</v>
      </c>
      <c r="H240">
        <v>395774</v>
      </c>
      <c r="I240">
        <v>3</v>
      </c>
      <c r="J240">
        <v>17.71</v>
      </c>
      <c r="K240">
        <v>135837.66</v>
      </c>
      <c r="L240" t="s">
        <v>36</v>
      </c>
      <c r="M240" t="s">
        <v>44</v>
      </c>
      <c r="N240" s="12">
        <v>45213</v>
      </c>
      <c r="O240" t="s">
        <v>635</v>
      </c>
      <c r="P240">
        <v>45</v>
      </c>
      <c r="Q240">
        <v>643</v>
      </c>
      <c r="R240" t="s">
        <v>46</v>
      </c>
      <c r="S240">
        <v>0</v>
      </c>
      <c r="T240" s="10" t="s">
        <v>1279</v>
      </c>
      <c r="U240" s="23">
        <f>COUNTIF(Table1[Loan_Status],"Defaulted")/COUNTA(Table1[Loan_ID])</f>
        <v>0.248</v>
      </c>
    </row>
    <row r="241" spans="1:21" x14ac:dyDescent="0.3">
      <c r="A241" t="s">
        <v>636</v>
      </c>
      <c r="B241" t="s">
        <v>637</v>
      </c>
      <c r="C241">
        <v>34</v>
      </c>
      <c r="D241" t="s">
        <v>29</v>
      </c>
      <c r="E241" t="s">
        <v>49</v>
      </c>
      <c r="F241" t="s">
        <v>35</v>
      </c>
      <c r="G241">
        <v>82281</v>
      </c>
      <c r="H241">
        <v>417625</v>
      </c>
      <c r="I241">
        <v>3</v>
      </c>
      <c r="J241">
        <v>29.29</v>
      </c>
      <c r="K241">
        <v>146058.64000000001</v>
      </c>
      <c r="L241" t="s">
        <v>43</v>
      </c>
      <c r="M241" t="s">
        <v>54</v>
      </c>
      <c r="N241" s="12">
        <v>45010</v>
      </c>
      <c r="O241" t="s">
        <v>217</v>
      </c>
      <c r="P241">
        <v>375</v>
      </c>
      <c r="Q241">
        <v>729</v>
      </c>
      <c r="R241" t="s">
        <v>26</v>
      </c>
      <c r="S241">
        <v>0</v>
      </c>
      <c r="T241" s="10" t="s">
        <v>1271</v>
      </c>
      <c r="U241" s="23">
        <f>COUNTIF(Table1[Loan_Status],"Defaulted")/COUNTA(Table1[Loan_ID])</f>
        <v>0.248</v>
      </c>
    </row>
    <row r="242" spans="1:21" x14ac:dyDescent="0.3">
      <c r="A242" t="s">
        <v>638</v>
      </c>
      <c r="B242" t="s">
        <v>639</v>
      </c>
      <c r="C242">
        <v>47</v>
      </c>
      <c r="D242" t="s">
        <v>21</v>
      </c>
      <c r="E242" t="s">
        <v>68</v>
      </c>
      <c r="F242" t="s">
        <v>35</v>
      </c>
      <c r="G242">
        <v>113395</v>
      </c>
      <c r="H242">
        <v>58177</v>
      </c>
      <c r="I242">
        <v>18</v>
      </c>
      <c r="J242">
        <v>30.93</v>
      </c>
      <c r="K242">
        <v>4080.33</v>
      </c>
      <c r="L242" t="s">
        <v>24</v>
      </c>
      <c r="M242" t="s">
        <v>44</v>
      </c>
      <c r="N242" s="12">
        <v>44728</v>
      </c>
      <c r="O242" t="s">
        <v>640</v>
      </c>
      <c r="P242">
        <v>462</v>
      </c>
      <c r="Q242">
        <v>375</v>
      </c>
      <c r="R242" t="s">
        <v>46</v>
      </c>
      <c r="S242">
        <v>0</v>
      </c>
      <c r="T242" s="10" t="s">
        <v>1268</v>
      </c>
      <c r="U242" s="23">
        <f>COUNTIF(Table1[Loan_Status],"Defaulted")/COUNTA(Table1[Loan_ID])</f>
        <v>0.248</v>
      </c>
    </row>
    <row r="243" spans="1:21" x14ac:dyDescent="0.3">
      <c r="A243" t="s">
        <v>641</v>
      </c>
      <c r="B243" t="s">
        <v>642</v>
      </c>
      <c r="C243">
        <v>39</v>
      </c>
      <c r="D243" t="s">
        <v>29</v>
      </c>
      <c r="E243" t="s">
        <v>42</v>
      </c>
      <c r="F243" t="s">
        <v>35</v>
      </c>
      <c r="G243">
        <v>42453</v>
      </c>
      <c r="H243">
        <v>43902</v>
      </c>
      <c r="I243">
        <v>12</v>
      </c>
      <c r="J243">
        <v>16.079999999999998</v>
      </c>
      <c r="K243">
        <v>3984.93</v>
      </c>
      <c r="L243" t="s">
        <v>31</v>
      </c>
      <c r="M243" t="s">
        <v>44</v>
      </c>
      <c r="N243" s="12">
        <v>44638</v>
      </c>
      <c r="O243" t="s">
        <v>643</v>
      </c>
      <c r="P243">
        <v>560</v>
      </c>
      <c r="Q243">
        <v>395</v>
      </c>
      <c r="R243" t="s">
        <v>46</v>
      </c>
      <c r="S243">
        <v>0</v>
      </c>
      <c r="T243" s="10" t="s">
        <v>1264</v>
      </c>
      <c r="U243" s="23">
        <f>COUNTIF(Table1[Loan_Status],"Defaulted")/COUNTA(Table1[Loan_ID])</f>
        <v>0.248</v>
      </c>
    </row>
    <row r="244" spans="1:21" x14ac:dyDescent="0.3">
      <c r="A244" t="s">
        <v>644</v>
      </c>
      <c r="B244" t="s">
        <v>645</v>
      </c>
      <c r="C244">
        <v>22</v>
      </c>
      <c r="D244" t="s">
        <v>21</v>
      </c>
      <c r="E244" t="s">
        <v>22</v>
      </c>
      <c r="F244" t="s">
        <v>35</v>
      </c>
      <c r="G244">
        <v>56183</v>
      </c>
      <c r="H244">
        <v>33078</v>
      </c>
      <c r="I244">
        <v>3</v>
      </c>
      <c r="J244">
        <v>19.95</v>
      </c>
      <c r="K244">
        <v>11394.63</v>
      </c>
      <c r="L244" t="s">
        <v>39</v>
      </c>
      <c r="M244" t="s">
        <v>54</v>
      </c>
      <c r="N244" s="12">
        <v>45275</v>
      </c>
      <c r="O244" t="s">
        <v>646</v>
      </c>
      <c r="P244">
        <v>141</v>
      </c>
      <c r="Q244">
        <v>571</v>
      </c>
      <c r="R244" t="s">
        <v>26</v>
      </c>
      <c r="S244">
        <v>0</v>
      </c>
      <c r="T244" s="10" t="s">
        <v>1282</v>
      </c>
      <c r="U244" s="23">
        <f>COUNTIF(Table1[Loan_Status],"Defaulted")/COUNTA(Table1[Loan_ID])</f>
        <v>0.248</v>
      </c>
    </row>
    <row r="245" spans="1:21" x14ac:dyDescent="0.3">
      <c r="A245" t="s">
        <v>647</v>
      </c>
      <c r="B245" t="s">
        <v>648</v>
      </c>
      <c r="C245">
        <v>40</v>
      </c>
      <c r="D245" t="s">
        <v>29</v>
      </c>
      <c r="E245" t="s">
        <v>49</v>
      </c>
      <c r="F245" t="s">
        <v>23</v>
      </c>
      <c r="G245">
        <v>117996</v>
      </c>
      <c r="H245">
        <v>304772</v>
      </c>
      <c r="I245">
        <v>24</v>
      </c>
      <c r="J245">
        <v>32.159999999999997</v>
      </c>
      <c r="K245">
        <v>17381.349999999999</v>
      </c>
      <c r="L245" t="s">
        <v>39</v>
      </c>
      <c r="M245" t="s">
        <v>25</v>
      </c>
      <c r="N245" s="12">
        <v>44931</v>
      </c>
      <c r="Q245">
        <v>303</v>
      </c>
      <c r="R245" t="s">
        <v>46</v>
      </c>
      <c r="S245">
        <v>0</v>
      </c>
      <c r="T245" s="10" t="s">
        <v>1266</v>
      </c>
      <c r="U245" s="23">
        <f>COUNTIF(Table1[Loan_Status],"Defaulted")/COUNTA(Table1[Loan_ID])</f>
        <v>0.248</v>
      </c>
    </row>
    <row r="246" spans="1:21" x14ac:dyDescent="0.3">
      <c r="A246" t="s">
        <v>649</v>
      </c>
      <c r="B246" t="s">
        <v>650</v>
      </c>
      <c r="C246">
        <v>51</v>
      </c>
      <c r="D246" t="s">
        <v>29</v>
      </c>
      <c r="E246" t="s">
        <v>49</v>
      </c>
      <c r="F246" t="s">
        <v>23</v>
      </c>
      <c r="G246">
        <v>69251</v>
      </c>
      <c r="H246">
        <v>94565</v>
      </c>
      <c r="I246">
        <v>12</v>
      </c>
      <c r="J246">
        <v>35.450000000000003</v>
      </c>
      <c r="K246">
        <v>9474.2199999999993</v>
      </c>
      <c r="L246" t="s">
        <v>31</v>
      </c>
      <c r="M246" t="s">
        <v>25</v>
      </c>
      <c r="N246" s="12">
        <v>44877</v>
      </c>
      <c r="Q246">
        <v>707</v>
      </c>
      <c r="R246" t="s">
        <v>46</v>
      </c>
      <c r="S246">
        <v>0</v>
      </c>
      <c r="T246" s="10" t="s">
        <v>1269</v>
      </c>
      <c r="U246" s="23">
        <f>COUNTIF(Table1[Loan_Status],"Defaulted")/COUNTA(Table1[Loan_ID])</f>
        <v>0.248</v>
      </c>
    </row>
    <row r="247" spans="1:21" x14ac:dyDescent="0.3">
      <c r="A247" t="s">
        <v>651</v>
      </c>
      <c r="B247" t="s">
        <v>652</v>
      </c>
      <c r="C247">
        <v>26</v>
      </c>
      <c r="D247" t="s">
        <v>21</v>
      </c>
      <c r="E247" t="s">
        <v>22</v>
      </c>
      <c r="F247" t="s">
        <v>35</v>
      </c>
      <c r="G247">
        <v>114993</v>
      </c>
      <c r="H247">
        <v>198672</v>
      </c>
      <c r="I247">
        <v>6</v>
      </c>
      <c r="J247">
        <v>22.7</v>
      </c>
      <c r="K247">
        <v>35338.519999999997</v>
      </c>
      <c r="L247" t="s">
        <v>36</v>
      </c>
      <c r="M247" t="s">
        <v>54</v>
      </c>
      <c r="N247" s="12">
        <v>45038</v>
      </c>
      <c r="O247" t="s">
        <v>653</v>
      </c>
      <c r="P247">
        <v>134</v>
      </c>
      <c r="Q247">
        <v>531</v>
      </c>
      <c r="R247" t="s">
        <v>26</v>
      </c>
      <c r="S247">
        <v>0</v>
      </c>
      <c r="T247" s="10" t="s">
        <v>1278</v>
      </c>
      <c r="U247" s="23">
        <f>COUNTIF(Table1[Loan_Status],"Defaulted")/COUNTA(Table1[Loan_ID])</f>
        <v>0.248</v>
      </c>
    </row>
    <row r="248" spans="1:21" x14ac:dyDescent="0.3">
      <c r="A248" t="s">
        <v>654</v>
      </c>
      <c r="B248" t="s">
        <v>655</v>
      </c>
      <c r="C248">
        <v>24</v>
      </c>
      <c r="D248" t="s">
        <v>29</v>
      </c>
      <c r="E248" t="s">
        <v>49</v>
      </c>
      <c r="F248" t="s">
        <v>23</v>
      </c>
      <c r="G248">
        <v>105122</v>
      </c>
      <c r="H248">
        <v>428719</v>
      </c>
      <c r="I248">
        <v>24</v>
      </c>
      <c r="J248">
        <v>21.94</v>
      </c>
      <c r="K248">
        <v>22228.45</v>
      </c>
      <c r="L248" t="s">
        <v>24</v>
      </c>
      <c r="M248" t="s">
        <v>44</v>
      </c>
      <c r="N248" s="12">
        <v>45128</v>
      </c>
      <c r="O248" t="s">
        <v>55</v>
      </c>
      <c r="P248">
        <v>31</v>
      </c>
      <c r="Q248">
        <v>696</v>
      </c>
      <c r="R248" t="s">
        <v>46</v>
      </c>
      <c r="S248">
        <v>0</v>
      </c>
      <c r="T248" s="10" t="s">
        <v>1265</v>
      </c>
      <c r="U248" s="23">
        <f>COUNTIF(Table1[Loan_Status],"Defaulted")/COUNTA(Table1[Loan_ID])</f>
        <v>0.248</v>
      </c>
    </row>
    <row r="249" spans="1:21" x14ac:dyDescent="0.3">
      <c r="A249" t="s">
        <v>656</v>
      </c>
      <c r="B249" t="s">
        <v>657</v>
      </c>
      <c r="C249">
        <v>55</v>
      </c>
      <c r="D249" t="s">
        <v>21</v>
      </c>
      <c r="E249" t="s">
        <v>30</v>
      </c>
      <c r="F249" t="s">
        <v>23</v>
      </c>
      <c r="G249">
        <v>139849</v>
      </c>
      <c r="H249">
        <v>161684</v>
      </c>
      <c r="I249">
        <v>3</v>
      </c>
      <c r="J249">
        <v>21.48</v>
      </c>
      <c r="K249">
        <v>55835.51</v>
      </c>
      <c r="L249" t="s">
        <v>43</v>
      </c>
      <c r="M249" t="s">
        <v>44</v>
      </c>
      <c r="N249" s="12">
        <v>44685</v>
      </c>
      <c r="O249" t="s">
        <v>658</v>
      </c>
      <c r="P249">
        <v>775</v>
      </c>
      <c r="Q249">
        <v>759</v>
      </c>
      <c r="R249" t="s">
        <v>46</v>
      </c>
      <c r="S249">
        <v>0</v>
      </c>
      <c r="T249" s="10" t="s">
        <v>1272</v>
      </c>
      <c r="U249" s="23">
        <f>COUNTIF(Table1[Loan_Status],"Defaulted")/COUNTA(Table1[Loan_ID])</f>
        <v>0.248</v>
      </c>
    </row>
    <row r="250" spans="1:21" x14ac:dyDescent="0.3">
      <c r="A250" t="s">
        <v>659</v>
      </c>
      <c r="B250" t="s">
        <v>660</v>
      </c>
      <c r="C250">
        <v>34</v>
      </c>
      <c r="D250" t="s">
        <v>29</v>
      </c>
      <c r="E250" t="s">
        <v>22</v>
      </c>
      <c r="F250" t="s">
        <v>23</v>
      </c>
      <c r="G250">
        <v>125985</v>
      </c>
      <c r="H250">
        <v>46087</v>
      </c>
      <c r="I250">
        <v>18</v>
      </c>
      <c r="J250">
        <v>16.850000000000001</v>
      </c>
      <c r="K250">
        <v>2915.41</v>
      </c>
      <c r="L250" t="s">
        <v>39</v>
      </c>
      <c r="M250" t="s">
        <v>32</v>
      </c>
      <c r="N250" s="12">
        <v>44889</v>
      </c>
      <c r="Q250">
        <v>368</v>
      </c>
      <c r="R250" t="s">
        <v>26</v>
      </c>
      <c r="S250">
        <v>7416.28</v>
      </c>
      <c r="T250" s="10" t="s">
        <v>1269</v>
      </c>
      <c r="U250" s="23">
        <f>COUNTIF(Table1[Loan_Status],"Defaulted")/COUNTA(Table1[Loan_ID])</f>
        <v>0.248</v>
      </c>
    </row>
    <row r="251" spans="1:21" x14ac:dyDescent="0.3">
      <c r="A251" t="s">
        <v>661</v>
      </c>
      <c r="B251" t="s">
        <v>662</v>
      </c>
      <c r="C251">
        <v>41</v>
      </c>
      <c r="D251" t="s">
        <v>21</v>
      </c>
      <c r="E251" t="s">
        <v>30</v>
      </c>
      <c r="F251" t="s">
        <v>35</v>
      </c>
      <c r="G251">
        <v>18241</v>
      </c>
      <c r="H251">
        <v>417379</v>
      </c>
      <c r="I251">
        <v>24</v>
      </c>
      <c r="J251">
        <v>26.1</v>
      </c>
      <c r="K251">
        <v>22507.17</v>
      </c>
      <c r="L251" t="s">
        <v>31</v>
      </c>
      <c r="M251" t="s">
        <v>25</v>
      </c>
      <c r="N251" s="12">
        <v>44986</v>
      </c>
      <c r="Q251">
        <v>453</v>
      </c>
      <c r="R251" t="s">
        <v>26</v>
      </c>
      <c r="S251">
        <v>0</v>
      </c>
      <c r="T251" s="10" t="s">
        <v>1271</v>
      </c>
      <c r="U251" s="23">
        <f>COUNTIF(Table1[Loan_Status],"Defaulted")/COUNTA(Table1[Loan_ID])</f>
        <v>0.248</v>
      </c>
    </row>
    <row r="252" spans="1:21" x14ac:dyDescent="0.3">
      <c r="A252" t="s">
        <v>663</v>
      </c>
      <c r="B252" t="s">
        <v>664</v>
      </c>
      <c r="C252">
        <v>27</v>
      </c>
      <c r="D252" t="s">
        <v>29</v>
      </c>
      <c r="E252" t="s">
        <v>42</v>
      </c>
      <c r="F252" t="s">
        <v>35</v>
      </c>
      <c r="G252">
        <v>122712</v>
      </c>
      <c r="H252">
        <v>143483</v>
      </c>
      <c r="I252">
        <v>18</v>
      </c>
      <c r="J252">
        <v>27.71</v>
      </c>
      <c r="K252">
        <v>9832.73</v>
      </c>
      <c r="L252" t="s">
        <v>24</v>
      </c>
      <c r="M252" t="s">
        <v>54</v>
      </c>
      <c r="N252" s="12">
        <v>44600</v>
      </c>
      <c r="O252" t="s">
        <v>665</v>
      </c>
      <c r="P252">
        <v>176</v>
      </c>
      <c r="Q252">
        <v>582</v>
      </c>
      <c r="R252" t="s">
        <v>26</v>
      </c>
      <c r="S252">
        <v>0</v>
      </c>
      <c r="T252" s="10" t="s">
        <v>1263</v>
      </c>
      <c r="U252" s="23">
        <f>COUNTIF(Table1[Loan_Status],"Defaulted")/COUNTA(Table1[Loan_ID])</f>
        <v>0.248</v>
      </c>
    </row>
    <row r="253" spans="1:21" x14ac:dyDescent="0.3">
      <c r="A253" t="s">
        <v>666</v>
      </c>
      <c r="B253" t="s">
        <v>667</v>
      </c>
      <c r="C253">
        <v>30</v>
      </c>
      <c r="D253" t="s">
        <v>21</v>
      </c>
      <c r="E253" t="s">
        <v>49</v>
      </c>
      <c r="F253" t="s">
        <v>35</v>
      </c>
      <c r="G253">
        <v>101899</v>
      </c>
      <c r="H253">
        <v>367028</v>
      </c>
      <c r="I253">
        <v>6</v>
      </c>
      <c r="J253">
        <v>13.18</v>
      </c>
      <c r="K253">
        <v>63544.27</v>
      </c>
      <c r="L253" t="s">
        <v>31</v>
      </c>
      <c r="M253" t="s">
        <v>32</v>
      </c>
      <c r="N253" s="12">
        <v>44943</v>
      </c>
      <c r="Q253">
        <v>320</v>
      </c>
      <c r="R253" t="s">
        <v>26</v>
      </c>
      <c r="S253">
        <v>123507.22</v>
      </c>
      <c r="T253" s="10" t="s">
        <v>1266</v>
      </c>
      <c r="U253" s="23">
        <f>COUNTIF(Table1[Loan_Status],"Defaulted")/COUNTA(Table1[Loan_ID])</f>
        <v>0.248</v>
      </c>
    </row>
    <row r="254" spans="1:21" x14ac:dyDescent="0.3">
      <c r="A254" t="s">
        <v>668</v>
      </c>
      <c r="B254" t="s">
        <v>669</v>
      </c>
      <c r="C254">
        <v>40</v>
      </c>
      <c r="D254" t="s">
        <v>21</v>
      </c>
      <c r="E254" t="s">
        <v>68</v>
      </c>
      <c r="F254" t="s">
        <v>23</v>
      </c>
      <c r="G254">
        <v>74757</v>
      </c>
      <c r="H254">
        <v>75456</v>
      </c>
      <c r="I254">
        <v>12</v>
      </c>
      <c r="J254">
        <v>35.380000000000003</v>
      </c>
      <c r="K254">
        <v>7557.11</v>
      </c>
      <c r="L254" t="s">
        <v>31</v>
      </c>
      <c r="M254" t="s">
        <v>32</v>
      </c>
      <c r="N254" s="12">
        <v>44837</v>
      </c>
      <c r="Q254">
        <v>726</v>
      </c>
      <c r="R254" t="s">
        <v>26</v>
      </c>
      <c r="S254">
        <v>39500.11</v>
      </c>
      <c r="T254" s="10" t="s">
        <v>1267</v>
      </c>
      <c r="U254" s="23">
        <f>COUNTIF(Table1[Loan_Status],"Defaulted")/COUNTA(Table1[Loan_ID])</f>
        <v>0.248</v>
      </c>
    </row>
    <row r="255" spans="1:21" x14ac:dyDescent="0.3">
      <c r="A255" t="s">
        <v>670</v>
      </c>
      <c r="B255" t="s">
        <v>671</v>
      </c>
      <c r="C255">
        <v>33</v>
      </c>
      <c r="D255" t="s">
        <v>21</v>
      </c>
      <c r="E255" t="s">
        <v>22</v>
      </c>
      <c r="F255" t="s">
        <v>35</v>
      </c>
      <c r="G255">
        <v>141998</v>
      </c>
      <c r="H255">
        <v>403193</v>
      </c>
      <c r="I255">
        <v>24</v>
      </c>
      <c r="J255">
        <v>32.81</v>
      </c>
      <c r="K255">
        <v>23130.95</v>
      </c>
      <c r="L255" t="s">
        <v>43</v>
      </c>
      <c r="M255" t="s">
        <v>44</v>
      </c>
      <c r="N255" s="12">
        <v>44629</v>
      </c>
      <c r="O255" t="s">
        <v>672</v>
      </c>
      <c r="P255">
        <v>318</v>
      </c>
      <c r="Q255">
        <v>818</v>
      </c>
      <c r="R255" t="s">
        <v>46</v>
      </c>
      <c r="S255">
        <v>0</v>
      </c>
      <c r="T255" s="10" t="s">
        <v>1264</v>
      </c>
      <c r="U255" s="23">
        <f>COUNTIF(Table1[Loan_Status],"Defaulted")/COUNTA(Table1[Loan_ID])</f>
        <v>0.248</v>
      </c>
    </row>
    <row r="256" spans="1:21" x14ac:dyDescent="0.3">
      <c r="A256" t="s">
        <v>673</v>
      </c>
      <c r="B256" t="s">
        <v>674</v>
      </c>
      <c r="C256">
        <v>22</v>
      </c>
      <c r="D256" t="s">
        <v>29</v>
      </c>
      <c r="E256" t="s">
        <v>22</v>
      </c>
      <c r="F256" t="s">
        <v>23</v>
      </c>
      <c r="G256">
        <v>30106</v>
      </c>
      <c r="H256">
        <v>135804</v>
      </c>
      <c r="I256">
        <v>3</v>
      </c>
      <c r="J256">
        <v>22.95</v>
      </c>
      <c r="K256">
        <v>47010.43</v>
      </c>
      <c r="L256" t="s">
        <v>36</v>
      </c>
      <c r="M256" t="s">
        <v>44</v>
      </c>
      <c r="N256" s="12">
        <v>44842</v>
      </c>
      <c r="O256" t="s">
        <v>675</v>
      </c>
      <c r="P256">
        <v>377</v>
      </c>
      <c r="Q256">
        <v>775</v>
      </c>
      <c r="R256" t="s">
        <v>46</v>
      </c>
      <c r="S256">
        <v>0</v>
      </c>
      <c r="T256" s="10" t="s">
        <v>1267</v>
      </c>
      <c r="U256" s="23">
        <f>COUNTIF(Table1[Loan_Status],"Defaulted")/COUNTA(Table1[Loan_ID])</f>
        <v>0.248</v>
      </c>
    </row>
    <row r="257" spans="1:21" x14ac:dyDescent="0.3">
      <c r="A257" t="s">
        <v>676</v>
      </c>
      <c r="B257" t="s">
        <v>677</v>
      </c>
      <c r="C257">
        <v>22</v>
      </c>
      <c r="D257" t="s">
        <v>29</v>
      </c>
      <c r="E257" t="s">
        <v>42</v>
      </c>
      <c r="F257" t="s">
        <v>35</v>
      </c>
      <c r="G257">
        <v>131943</v>
      </c>
      <c r="H257">
        <v>98104</v>
      </c>
      <c r="I257">
        <v>18</v>
      </c>
      <c r="J257">
        <v>26.09</v>
      </c>
      <c r="K257">
        <v>6644.37</v>
      </c>
      <c r="L257" t="s">
        <v>36</v>
      </c>
      <c r="M257" t="s">
        <v>32</v>
      </c>
      <c r="N257" s="12">
        <v>44729</v>
      </c>
      <c r="Q257">
        <v>564</v>
      </c>
      <c r="R257" t="s">
        <v>26</v>
      </c>
      <c r="S257">
        <v>61243.66</v>
      </c>
      <c r="T257" s="10" t="s">
        <v>1268</v>
      </c>
      <c r="U257" s="23">
        <f>COUNTIF(Table1[Loan_Status],"Defaulted")/COUNTA(Table1[Loan_ID])</f>
        <v>0.248</v>
      </c>
    </row>
    <row r="258" spans="1:21" x14ac:dyDescent="0.3">
      <c r="A258" t="s">
        <v>678</v>
      </c>
      <c r="B258" t="s">
        <v>679</v>
      </c>
      <c r="C258">
        <v>39</v>
      </c>
      <c r="D258" t="s">
        <v>29</v>
      </c>
      <c r="E258" t="s">
        <v>68</v>
      </c>
      <c r="F258" t="s">
        <v>23</v>
      </c>
      <c r="G258">
        <v>57705</v>
      </c>
      <c r="H258">
        <v>452648</v>
      </c>
      <c r="I258">
        <v>24</v>
      </c>
      <c r="J258">
        <v>30.72</v>
      </c>
      <c r="K258">
        <v>25476.89</v>
      </c>
      <c r="L258" t="s">
        <v>39</v>
      </c>
      <c r="M258" t="s">
        <v>44</v>
      </c>
      <c r="N258" s="12">
        <v>45224</v>
      </c>
      <c r="O258" t="s">
        <v>681</v>
      </c>
      <c r="P258">
        <v>57</v>
      </c>
      <c r="Q258">
        <v>511</v>
      </c>
      <c r="R258" t="s">
        <v>46</v>
      </c>
      <c r="S258">
        <v>0</v>
      </c>
      <c r="T258" s="10" t="s">
        <v>1279</v>
      </c>
      <c r="U258" s="23">
        <f>COUNTIF(Table1[Loan_Status],"Defaulted")/COUNTA(Table1[Loan_ID])</f>
        <v>0.248</v>
      </c>
    </row>
    <row r="259" spans="1:21" x14ac:dyDescent="0.3">
      <c r="A259" t="s">
        <v>682</v>
      </c>
      <c r="B259" t="s">
        <v>683</v>
      </c>
      <c r="C259">
        <v>53</v>
      </c>
      <c r="D259" t="s">
        <v>29</v>
      </c>
      <c r="E259" t="s">
        <v>49</v>
      </c>
      <c r="F259" t="s">
        <v>35</v>
      </c>
      <c r="G259">
        <v>49685</v>
      </c>
      <c r="H259">
        <v>344409</v>
      </c>
      <c r="I259">
        <v>6</v>
      </c>
      <c r="J259">
        <v>26.43</v>
      </c>
      <c r="K259">
        <v>61906.75</v>
      </c>
      <c r="L259" t="s">
        <v>43</v>
      </c>
      <c r="M259" t="s">
        <v>44</v>
      </c>
      <c r="N259" s="12">
        <v>44820</v>
      </c>
      <c r="O259" t="s">
        <v>279</v>
      </c>
      <c r="P259">
        <v>622</v>
      </c>
      <c r="Q259">
        <v>612</v>
      </c>
      <c r="R259" t="s">
        <v>46</v>
      </c>
      <c r="S259">
        <v>0</v>
      </c>
      <c r="T259" s="10" t="s">
        <v>1270</v>
      </c>
      <c r="U259" s="23">
        <f>COUNTIF(Table1[Loan_Status],"Defaulted")/COUNTA(Table1[Loan_ID])</f>
        <v>0.248</v>
      </c>
    </row>
    <row r="260" spans="1:21" x14ac:dyDescent="0.3">
      <c r="A260" t="s">
        <v>684</v>
      </c>
      <c r="B260" t="s">
        <v>685</v>
      </c>
      <c r="C260">
        <v>48</v>
      </c>
      <c r="D260" t="s">
        <v>21</v>
      </c>
      <c r="E260" t="s">
        <v>42</v>
      </c>
      <c r="F260" t="s">
        <v>35</v>
      </c>
      <c r="G260">
        <v>81059</v>
      </c>
      <c r="H260">
        <v>119404</v>
      </c>
      <c r="I260">
        <v>18</v>
      </c>
      <c r="J260">
        <v>19.25</v>
      </c>
      <c r="K260">
        <v>7690</v>
      </c>
      <c r="L260" t="s">
        <v>24</v>
      </c>
      <c r="M260" t="s">
        <v>54</v>
      </c>
      <c r="N260" s="12">
        <v>45160</v>
      </c>
      <c r="O260" t="s">
        <v>686</v>
      </c>
      <c r="P260">
        <v>52</v>
      </c>
      <c r="Q260">
        <v>307</v>
      </c>
      <c r="R260" t="s">
        <v>26</v>
      </c>
      <c r="S260">
        <v>0</v>
      </c>
      <c r="T260" s="10" t="s">
        <v>1261</v>
      </c>
      <c r="U260" s="23">
        <f>COUNTIF(Table1[Loan_Status],"Defaulted")/COUNTA(Table1[Loan_ID])</f>
        <v>0.248</v>
      </c>
    </row>
    <row r="261" spans="1:21" x14ac:dyDescent="0.3">
      <c r="A261" t="s">
        <v>687</v>
      </c>
      <c r="B261" t="s">
        <v>688</v>
      </c>
      <c r="C261">
        <v>44</v>
      </c>
      <c r="D261" t="s">
        <v>21</v>
      </c>
      <c r="E261" t="s">
        <v>42</v>
      </c>
      <c r="F261" t="s">
        <v>23</v>
      </c>
      <c r="G261">
        <v>141284</v>
      </c>
      <c r="H261">
        <v>38469</v>
      </c>
      <c r="I261">
        <v>12</v>
      </c>
      <c r="J261">
        <v>35.72</v>
      </c>
      <c r="K261">
        <v>3859.29</v>
      </c>
      <c r="L261" t="s">
        <v>36</v>
      </c>
      <c r="M261" t="s">
        <v>32</v>
      </c>
      <c r="N261" s="12">
        <v>44829</v>
      </c>
      <c r="Q261">
        <v>605</v>
      </c>
      <c r="R261" t="s">
        <v>26</v>
      </c>
      <c r="S261">
        <v>8919.1200000000008</v>
      </c>
      <c r="T261" s="10" t="s">
        <v>1270</v>
      </c>
      <c r="U261" s="23">
        <f>COUNTIF(Table1[Loan_Status],"Defaulted")/COUNTA(Table1[Loan_ID])</f>
        <v>0.248</v>
      </c>
    </row>
    <row r="262" spans="1:21" x14ac:dyDescent="0.3">
      <c r="A262" t="s">
        <v>689</v>
      </c>
      <c r="B262" t="s">
        <v>690</v>
      </c>
      <c r="C262">
        <v>36</v>
      </c>
      <c r="D262" t="s">
        <v>29</v>
      </c>
      <c r="E262" t="s">
        <v>30</v>
      </c>
      <c r="F262" t="s">
        <v>35</v>
      </c>
      <c r="G262">
        <v>98777</v>
      </c>
      <c r="H262">
        <v>361912</v>
      </c>
      <c r="I262">
        <v>6</v>
      </c>
      <c r="J262">
        <v>29.31</v>
      </c>
      <c r="K262">
        <v>65578.820000000007</v>
      </c>
      <c r="L262" t="s">
        <v>31</v>
      </c>
      <c r="M262" t="s">
        <v>32</v>
      </c>
      <c r="N262" s="12">
        <v>44827</v>
      </c>
      <c r="Q262">
        <v>728</v>
      </c>
      <c r="R262" t="s">
        <v>26</v>
      </c>
      <c r="S262">
        <v>138691.64000000001</v>
      </c>
      <c r="T262" s="10" t="s">
        <v>1270</v>
      </c>
      <c r="U262" s="23">
        <f>COUNTIF(Table1[Loan_Status],"Defaulted")/COUNTA(Table1[Loan_ID])</f>
        <v>0.248</v>
      </c>
    </row>
    <row r="263" spans="1:21" x14ac:dyDescent="0.3">
      <c r="A263" t="s">
        <v>691</v>
      </c>
      <c r="B263" t="s">
        <v>692</v>
      </c>
      <c r="C263">
        <v>33</v>
      </c>
      <c r="D263" t="s">
        <v>21</v>
      </c>
      <c r="E263" t="s">
        <v>22</v>
      </c>
      <c r="F263" t="s">
        <v>35</v>
      </c>
      <c r="G263">
        <v>108977</v>
      </c>
      <c r="H263">
        <v>270979</v>
      </c>
      <c r="I263">
        <v>12</v>
      </c>
      <c r="J263">
        <v>32.29</v>
      </c>
      <c r="K263">
        <v>26723.14</v>
      </c>
      <c r="L263" t="s">
        <v>24</v>
      </c>
      <c r="M263" t="s">
        <v>44</v>
      </c>
      <c r="N263" s="12">
        <v>44862</v>
      </c>
      <c r="O263" t="s">
        <v>693</v>
      </c>
      <c r="P263">
        <v>99</v>
      </c>
      <c r="Q263">
        <v>782</v>
      </c>
      <c r="R263" t="s">
        <v>26</v>
      </c>
      <c r="S263">
        <v>0</v>
      </c>
      <c r="T263" s="10" t="s">
        <v>1267</v>
      </c>
      <c r="U263" s="23">
        <f>COUNTIF(Table1[Loan_Status],"Defaulted")/COUNTA(Table1[Loan_ID])</f>
        <v>0.248</v>
      </c>
    </row>
    <row r="264" spans="1:21" x14ac:dyDescent="0.3">
      <c r="A264" t="s">
        <v>694</v>
      </c>
      <c r="B264" t="s">
        <v>695</v>
      </c>
      <c r="C264">
        <v>32</v>
      </c>
      <c r="D264" t="s">
        <v>21</v>
      </c>
      <c r="E264" t="s">
        <v>49</v>
      </c>
      <c r="F264" t="s">
        <v>23</v>
      </c>
      <c r="G264">
        <v>108135</v>
      </c>
      <c r="H264">
        <v>122088</v>
      </c>
      <c r="I264">
        <v>12</v>
      </c>
      <c r="J264">
        <v>22.09</v>
      </c>
      <c r="K264">
        <v>11432.04</v>
      </c>
      <c r="L264" t="s">
        <v>36</v>
      </c>
      <c r="M264" t="s">
        <v>32</v>
      </c>
      <c r="N264" s="12">
        <v>44828</v>
      </c>
      <c r="Q264">
        <v>601</v>
      </c>
      <c r="R264" t="s">
        <v>26</v>
      </c>
      <c r="S264">
        <v>51842.53</v>
      </c>
      <c r="T264" s="10" t="s">
        <v>1270</v>
      </c>
      <c r="U264" s="23">
        <f>COUNTIF(Table1[Loan_Status],"Defaulted")/COUNTA(Table1[Loan_ID])</f>
        <v>0.248</v>
      </c>
    </row>
    <row r="265" spans="1:21" x14ac:dyDescent="0.3">
      <c r="A265" t="s">
        <v>696</v>
      </c>
      <c r="B265" t="s">
        <v>697</v>
      </c>
      <c r="C265">
        <v>51</v>
      </c>
      <c r="D265" t="s">
        <v>29</v>
      </c>
      <c r="E265" t="s">
        <v>30</v>
      </c>
      <c r="F265" t="s">
        <v>23</v>
      </c>
      <c r="G265">
        <v>138789</v>
      </c>
      <c r="H265">
        <v>471315</v>
      </c>
      <c r="I265">
        <v>6</v>
      </c>
      <c r="J265">
        <v>24.01</v>
      </c>
      <c r="K265">
        <v>84144.26</v>
      </c>
      <c r="L265" t="s">
        <v>31</v>
      </c>
      <c r="M265" t="s">
        <v>32</v>
      </c>
      <c r="N265" s="12">
        <v>44985</v>
      </c>
      <c r="Q265">
        <v>355</v>
      </c>
      <c r="R265" t="s">
        <v>26</v>
      </c>
      <c r="S265">
        <v>334442.49</v>
      </c>
      <c r="T265" s="10" t="s">
        <v>1277</v>
      </c>
      <c r="U265" s="23">
        <f>COUNTIF(Table1[Loan_Status],"Defaulted")/COUNTA(Table1[Loan_ID])</f>
        <v>0.248</v>
      </c>
    </row>
    <row r="266" spans="1:21" x14ac:dyDescent="0.3">
      <c r="A266" t="s">
        <v>698</v>
      </c>
      <c r="B266" t="s">
        <v>699</v>
      </c>
      <c r="C266">
        <v>29</v>
      </c>
      <c r="D266" t="s">
        <v>29</v>
      </c>
      <c r="E266" t="s">
        <v>42</v>
      </c>
      <c r="F266" t="s">
        <v>35</v>
      </c>
      <c r="G266">
        <v>134949</v>
      </c>
      <c r="H266">
        <v>80090</v>
      </c>
      <c r="I266">
        <v>12</v>
      </c>
      <c r="J266">
        <v>32.700000000000003</v>
      </c>
      <c r="K266">
        <v>7914.5</v>
      </c>
      <c r="L266" t="s">
        <v>39</v>
      </c>
      <c r="M266" t="s">
        <v>25</v>
      </c>
      <c r="N266" s="12">
        <v>45061</v>
      </c>
      <c r="Q266">
        <v>640</v>
      </c>
      <c r="R266" t="s">
        <v>46</v>
      </c>
      <c r="S266">
        <v>0</v>
      </c>
      <c r="T266" s="10" t="s">
        <v>1283</v>
      </c>
      <c r="U266" s="23">
        <f>COUNTIF(Table1[Loan_Status],"Defaulted")/COUNTA(Table1[Loan_ID])</f>
        <v>0.248</v>
      </c>
    </row>
    <row r="267" spans="1:21" x14ac:dyDescent="0.3">
      <c r="A267" t="s">
        <v>700</v>
      </c>
      <c r="B267" t="s">
        <v>701</v>
      </c>
      <c r="C267">
        <v>41</v>
      </c>
      <c r="D267" t="s">
        <v>29</v>
      </c>
      <c r="E267" t="s">
        <v>49</v>
      </c>
      <c r="F267" t="s">
        <v>35</v>
      </c>
      <c r="G267">
        <v>86703</v>
      </c>
      <c r="H267">
        <v>114776</v>
      </c>
      <c r="I267">
        <v>6</v>
      </c>
      <c r="J267">
        <v>25.83</v>
      </c>
      <c r="K267">
        <v>20596.060000000001</v>
      </c>
      <c r="L267" t="s">
        <v>39</v>
      </c>
      <c r="M267" t="s">
        <v>54</v>
      </c>
      <c r="N267" s="12">
        <v>44652</v>
      </c>
      <c r="O267" t="s">
        <v>702</v>
      </c>
      <c r="P267">
        <v>132</v>
      </c>
      <c r="Q267">
        <v>744</v>
      </c>
      <c r="R267" t="s">
        <v>26</v>
      </c>
      <c r="S267">
        <v>0</v>
      </c>
      <c r="T267" s="10" t="s">
        <v>1274</v>
      </c>
      <c r="U267" s="23">
        <f>COUNTIF(Table1[Loan_Status],"Defaulted")/COUNTA(Table1[Loan_ID])</f>
        <v>0.248</v>
      </c>
    </row>
    <row r="268" spans="1:21" x14ac:dyDescent="0.3">
      <c r="A268" t="s">
        <v>703</v>
      </c>
      <c r="B268" t="s">
        <v>704</v>
      </c>
      <c r="C268">
        <v>46</v>
      </c>
      <c r="D268" t="s">
        <v>21</v>
      </c>
      <c r="E268" t="s">
        <v>68</v>
      </c>
      <c r="F268" t="s">
        <v>35</v>
      </c>
      <c r="G268">
        <v>16223</v>
      </c>
      <c r="H268">
        <v>24778</v>
      </c>
      <c r="I268">
        <v>24</v>
      </c>
      <c r="J268">
        <v>16.79</v>
      </c>
      <c r="K268">
        <v>1222.58</v>
      </c>
      <c r="L268" t="s">
        <v>36</v>
      </c>
      <c r="M268" t="s">
        <v>25</v>
      </c>
      <c r="N268" s="12">
        <v>44891</v>
      </c>
      <c r="Q268">
        <v>843</v>
      </c>
      <c r="R268" t="s">
        <v>46</v>
      </c>
      <c r="S268">
        <v>0</v>
      </c>
      <c r="T268" s="10" t="s">
        <v>1269</v>
      </c>
      <c r="U268" s="23">
        <f>COUNTIF(Table1[Loan_Status],"Defaulted")/COUNTA(Table1[Loan_ID])</f>
        <v>0.248</v>
      </c>
    </row>
    <row r="269" spans="1:21" x14ac:dyDescent="0.3">
      <c r="A269" t="s">
        <v>705</v>
      </c>
      <c r="B269" t="s">
        <v>706</v>
      </c>
      <c r="C269">
        <v>36</v>
      </c>
      <c r="D269" t="s">
        <v>29</v>
      </c>
      <c r="E269" t="s">
        <v>42</v>
      </c>
      <c r="F269" t="s">
        <v>35</v>
      </c>
      <c r="G269">
        <v>48798</v>
      </c>
      <c r="H269">
        <v>58848</v>
      </c>
      <c r="I269">
        <v>18</v>
      </c>
      <c r="J269">
        <v>24.08</v>
      </c>
      <c r="K269">
        <v>3927.59</v>
      </c>
      <c r="L269" t="s">
        <v>36</v>
      </c>
      <c r="M269" t="s">
        <v>44</v>
      </c>
      <c r="N269" s="12">
        <v>44628</v>
      </c>
      <c r="O269" t="s">
        <v>707</v>
      </c>
      <c r="P269">
        <v>843</v>
      </c>
      <c r="Q269">
        <v>346</v>
      </c>
      <c r="R269" t="s">
        <v>46</v>
      </c>
      <c r="S269">
        <v>0</v>
      </c>
      <c r="T269" s="10" t="s">
        <v>1264</v>
      </c>
      <c r="U269" s="23">
        <f>COUNTIF(Table1[Loan_Status],"Defaulted")/COUNTA(Table1[Loan_ID])</f>
        <v>0.248</v>
      </c>
    </row>
    <row r="270" spans="1:21" x14ac:dyDescent="0.3">
      <c r="A270" t="s">
        <v>708</v>
      </c>
      <c r="B270" t="s">
        <v>709</v>
      </c>
      <c r="C270">
        <v>50</v>
      </c>
      <c r="D270" t="s">
        <v>21</v>
      </c>
      <c r="E270" t="s">
        <v>68</v>
      </c>
      <c r="F270" t="s">
        <v>23</v>
      </c>
      <c r="G270">
        <v>104845</v>
      </c>
      <c r="H270">
        <v>477584</v>
      </c>
      <c r="I270">
        <v>18</v>
      </c>
      <c r="J270">
        <v>20.62</v>
      </c>
      <c r="K270">
        <v>31072.39</v>
      </c>
      <c r="L270" t="s">
        <v>39</v>
      </c>
      <c r="M270" t="s">
        <v>44</v>
      </c>
      <c r="N270" s="12">
        <v>44975</v>
      </c>
      <c r="O270" t="s">
        <v>470</v>
      </c>
      <c r="P270">
        <v>9</v>
      </c>
      <c r="Q270">
        <v>533</v>
      </c>
      <c r="R270" t="s">
        <v>46</v>
      </c>
      <c r="S270">
        <v>0</v>
      </c>
      <c r="T270" s="10" t="s">
        <v>1277</v>
      </c>
      <c r="U270" s="23">
        <f>COUNTIF(Table1[Loan_Status],"Defaulted")/COUNTA(Table1[Loan_ID])</f>
        <v>0.248</v>
      </c>
    </row>
    <row r="271" spans="1:21" x14ac:dyDescent="0.3">
      <c r="A271" t="s">
        <v>710</v>
      </c>
      <c r="B271" t="s">
        <v>711</v>
      </c>
      <c r="C271">
        <v>34</v>
      </c>
      <c r="D271" t="s">
        <v>29</v>
      </c>
      <c r="E271" t="s">
        <v>30</v>
      </c>
      <c r="F271" t="s">
        <v>23</v>
      </c>
      <c r="G271">
        <v>47286</v>
      </c>
      <c r="H271">
        <v>197199</v>
      </c>
      <c r="I271">
        <v>3</v>
      </c>
      <c r="J271">
        <v>21</v>
      </c>
      <c r="K271">
        <v>68046.960000000006</v>
      </c>
      <c r="L271" t="s">
        <v>36</v>
      </c>
      <c r="M271" t="s">
        <v>25</v>
      </c>
      <c r="N271" s="12">
        <v>45170</v>
      </c>
      <c r="Q271">
        <v>349</v>
      </c>
      <c r="R271" t="s">
        <v>46</v>
      </c>
      <c r="S271">
        <v>0</v>
      </c>
      <c r="T271" s="10" t="s">
        <v>1284</v>
      </c>
      <c r="U271" s="23">
        <f>COUNTIF(Table1[Loan_Status],"Defaulted")/COUNTA(Table1[Loan_ID])</f>
        <v>0.248</v>
      </c>
    </row>
    <row r="272" spans="1:21" x14ac:dyDescent="0.3">
      <c r="A272" t="s">
        <v>712</v>
      </c>
      <c r="B272" t="s">
        <v>713</v>
      </c>
      <c r="C272">
        <v>24</v>
      </c>
      <c r="D272" t="s">
        <v>29</v>
      </c>
      <c r="E272" t="s">
        <v>68</v>
      </c>
      <c r="F272" t="s">
        <v>35</v>
      </c>
      <c r="G272">
        <v>114681</v>
      </c>
      <c r="H272">
        <v>69799</v>
      </c>
      <c r="I272">
        <v>24</v>
      </c>
      <c r="J272">
        <v>18.07</v>
      </c>
      <c r="K272">
        <v>3487.01</v>
      </c>
      <c r="L272" t="s">
        <v>39</v>
      </c>
      <c r="M272" t="s">
        <v>44</v>
      </c>
      <c r="N272" s="12">
        <v>45273</v>
      </c>
      <c r="O272" t="s">
        <v>714</v>
      </c>
      <c r="P272">
        <v>175</v>
      </c>
      <c r="Q272">
        <v>309</v>
      </c>
      <c r="R272" t="s">
        <v>46</v>
      </c>
      <c r="S272">
        <v>0</v>
      </c>
      <c r="T272" s="10" t="s">
        <v>1282</v>
      </c>
      <c r="U272" s="23">
        <f>COUNTIF(Table1[Loan_Status],"Defaulted")/COUNTA(Table1[Loan_ID])</f>
        <v>0.248</v>
      </c>
    </row>
    <row r="273" spans="1:21" x14ac:dyDescent="0.3">
      <c r="A273" t="s">
        <v>715</v>
      </c>
      <c r="B273" t="s">
        <v>716</v>
      </c>
      <c r="C273">
        <v>54</v>
      </c>
      <c r="D273" t="s">
        <v>21</v>
      </c>
      <c r="E273" t="s">
        <v>30</v>
      </c>
      <c r="F273" t="s">
        <v>23</v>
      </c>
      <c r="G273">
        <v>124792</v>
      </c>
      <c r="H273">
        <v>440501</v>
      </c>
      <c r="I273">
        <v>3</v>
      </c>
      <c r="J273">
        <v>24.28</v>
      </c>
      <c r="K273">
        <v>152815.21</v>
      </c>
      <c r="L273" t="s">
        <v>24</v>
      </c>
      <c r="M273" t="s">
        <v>25</v>
      </c>
      <c r="N273" s="12">
        <v>44851</v>
      </c>
      <c r="Q273">
        <v>416</v>
      </c>
      <c r="R273" t="s">
        <v>46</v>
      </c>
      <c r="S273">
        <v>0</v>
      </c>
      <c r="T273" s="10" t="s">
        <v>1267</v>
      </c>
      <c r="U273" s="23">
        <f>COUNTIF(Table1[Loan_Status],"Defaulted")/COUNTA(Table1[Loan_ID])</f>
        <v>0.248</v>
      </c>
    </row>
    <row r="274" spans="1:21" x14ac:dyDescent="0.3">
      <c r="A274" t="s">
        <v>717</v>
      </c>
      <c r="B274" t="s">
        <v>718</v>
      </c>
      <c r="C274">
        <v>33</v>
      </c>
      <c r="D274" t="s">
        <v>29</v>
      </c>
      <c r="E274" t="s">
        <v>42</v>
      </c>
      <c r="F274" t="s">
        <v>23</v>
      </c>
      <c r="G274">
        <v>108827</v>
      </c>
      <c r="H274">
        <v>373803</v>
      </c>
      <c r="I274">
        <v>18</v>
      </c>
      <c r="J274">
        <v>19.09</v>
      </c>
      <c r="K274">
        <v>24045.47</v>
      </c>
      <c r="L274" t="s">
        <v>43</v>
      </c>
      <c r="M274" t="s">
        <v>54</v>
      </c>
      <c r="N274" s="12">
        <v>44774</v>
      </c>
      <c r="O274" t="s">
        <v>719</v>
      </c>
      <c r="P274">
        <v>492</v>
      </c>
      <c r="Q274">
        <v>638</v>
      </c>
      <c r="R274" t="s">
        <v>26</v>
      </c>
      <c r="S274">
        <v>0</v>
      </c>
      <c r="T274" s="10" t="s">
        <v>1275</v>
      </c>
      <c r="U274" s="23">
        <f>COUNTIF(Table1[Loan_Status],"Defaulted")/COUNTA(Table1[Loan_ID])</f>
        <v>0.248</v>
      </c>
    </row>
    <row r="275" spans="1:21" x14ac:dyDescent="0.3">
      <c r="A275" t="s">
        <v>720</v>
      </c>
      <c r="B275" t="s">
        <v>721</v>
      </c>
      <c r="C275">
        <v>21</v>
      </c>
      <c r="D275" t="s">
        <v>29</v>
      </c>
      <c r="E275" t="s">
        <v>49</v>
      </c>
      <c r="F275" t="s">
        <v>23</v>
      </c>
      <c r="G275">
        <v>144526</v>
      </c>
      <c r="H275">
        <v>83194</v>
      </c>
      <c r="I275">
        <v>3</v>
      </c>
      <c r="J275">
        <v>30.71</v>
      </c>
      <c r="K275">
        <v>29162.67</v>
      </c>
      <c r="L275" t="s">
        <v>43</v>
      </c>
      <c r="M275" t="s">
        <v>25</v>
      </c>
      <c r="N275" s="12">
        <v>44824</v>
      </c>
      <c r="Q275">
        <v>536</v>
      </c>
      <c r="R275" t="s">
        <v>46</v>
      </c>
      <c r="S275">
        <v>0</v>
      </c>
      <c r="T275" s="10" t="s">
        <v>1270</v>
      </c>
      <c r="U275" s="23">
        <f>COUNTIF(Table1[Loan_Status],"Defaulted")/COUNTA(Table1[Loan_ID])</f>
        <v>0.248</v>
      </c>
    </row>
    <row r="276" spans="1:21" x14ac:dyDescent="0.3">
      <c r="A276" t="s">
        <v>722</v>
      </c>
      <c r="B276" t="s">
        <v>723</v>
      </c>
      <c r="C276">
        <v>37</v>
      </c>
      <c r="D276" t="s">
        <v>21</v>
      </c>
      <c r="E276" t="s">
        <v>49</v>
      </c>
      <c r="F276" t="s">
        <v>23</v>
      </c>
      <c r="G276">
        <v>60797</v>
      </c>
      <c r="H276">
        <v>463301</v>
      </c>
      <c r="I276">
        <v>3</v>
      </c>
      <c r="J276">
        <v>32.450000000000003</v>
      </c>
      <c r="K276">
        <v>162860.23000000001</v>
      </c>
      <c r="L276" t="s">
        <v>36</v>
      </c>
      <c r="M276" t="s">
        <v>32</v>
      </c>
      <c r="N276" s="12">
        <v>44998</v>
      </c>
      <c r="Q276">
        <v>418</v>
      </c>
      <c r="R276" t="s">
        <v>26</v>
      </c>
      <c r="S276">
        <v>77139.12</v>
      </c>
      <c r="T276" s="10" t="s">
        <v>1271</v>
      </c>
      <c r="U276" s="23">
        <f>COUNTIF(Table1[Loan_Status],"Defaulted")/COUNTA(Table1[Loan_ID])</f>
        <v>0.248</v>
      </c>
    </row>
    <row r="277" spans="1:21" x14ac:dyDescent="0.3">
      <c r="A277" t="s">
        <v>724</v>
      </c>
      <c r="B277" t="s">
        <v>725</v>
      </c>
      <c r="C277">
        <v>21</v>
      </c>
      <c r="D277" t="s">
        <v>29</v>
      </c>
      <c r="E277" t="s">
        <v>22</v>
      </c>
      <c r="F277" t="s">
        <v>35</v>
      </c>
      <c r="G277">
        <v>108723</v>
      </c>
      <c r="H277">
        <v>473990</v>
      </c>
      <c r="I277">
        <v>18</v>
      </c>
      <c r="J277">
        <v>34.92</v>
      </c>
      <c r="K277">
        <v>34201.5</v>
      </c>
      <c r="L277" t="s">
        <v>36</v>
      </c>
      <c r="M277" t="s">
        <v>25</v>
      </c>
      <c r="N277" s="12">
        <v>44943</v>
      </c>
      <c r="Q277">
        <v>650</v>
      </c>
      <c r="R277" t="s">
        <v>46</v>
      </c>
      <c r="S277">
        <v>0</v>
      </c>
      <c r="T277" s="10" t="s">
        <v>1266</v>
      </c>
      <c r="U277" s="23">
        <f>COUNTIF(Table1[Loan_Status],"Defaulted")/COUNTA(Table1[Loan_ID])</f>
        <v>0.248</v>
      </c>
    </row>
    <row r="278" spans="1:21" x14ac:dyDescent="0.3">
      <c r="A278" t="s">
        <v>726</v>
      </c>
      <c r="B278" t="s">
        <v>727</v>
      </c>
      <c r="C278">
        <v>46</v>
      </c>
      <c r="D278" t="s">
        <v>21</v>
      </c>
      <c r="E278" t="s">
        <v>42</v>
      </c>
      <c r="F278" t="s">
        <v>35</v>
      </c>
      <c r="G278">
        <v>140369</v>
      </c>
      <c r="H278">
        <v>424377</v>
      </c>
      <c r="I278">
        <v>18</v>
      </c>
      <c r="J278">
        <v>27.57</v>
      </c>
      <c r="K278">
        <v>29052.63</v>
      </c>
      <c r="L278" t="s">
        <v>39</v>
      </c>
      <c r="M278" t="s">
        <v>25</v>
      </c>
      <c r="N278" s="12">
        <v>44697</v>
      </c>
      <c r="Q278">
        <v>360</v>
      </c>
      <c r="R278" t="s">
        <v>46</v>
      </c>
      <c r="S278">
        <v>0</v>
      </c>
      <c r="T278" s="10" t="s">
        <v>1272</v>
      </c>
      <c r="U278" s="23">
        <f>COUNTIF(Table1[Loan_Status],"Defaulted")/COUNTA(Table1[Loan_ID])</f>
        <v>0.248</v>
      </c>
    </row>
    <row r="279" spans="1:21" x14ac:dyDescent="0.3">
      <c r="A279" t="s">
        <v>728</v>
      </c>
      <c r="B279" t="s">
        <v>729</v>
      </c>
      <c r="C279">
        <v>27</v>
      </c>
      <c r="D279" t="s">
        <v>21</v>
      </c>
      <c r="E279" t="s">
        <v>30</v>
      </c>
      <c r="F279" t="s">
        <v>35</v>
      </c>
      <c r="G279">
        <v>129861</v>
      </c>
      <c r="H279">
        <v>100032</v>
      </c>
      <c r="I279">
        <v>24</v>
      </c>
      <c r="J279">
        <v>21.11</v>
      </c>
      <c r="K279">
        <v>5145.62</v>
      </c>
      <c r="L279" t="s">
        <v>36</v>
      </c>
      <c r="M279" t="s">
        <v>25</v>
      </c>
      <c r="N279" s="12">
        <v>45262</v>
      </c>
      <c r="Q279">
        <v>433</v>
      </c>
      <c r="R279" t="s">
        <v>46</v>
      </c>
      <c r="S279">
        <v>0</v>
      </c>
      <c r="T279" s="10" t="s">
        <v>1282</v>
      </c>
      <c r="U279" s="23">
        <f>COUNTIF(Table1[Loan_Status],"Defaulted")/COUNTA(Table1[Loan_ID])</f>
        <v>0.248</v>
      </c>
    </row>
    <row r="280" spans="1:21" x14ac:dyDescent="0.3">
      <c r="A280" t="s">
        <v>731</v>
      </c>
      <c r="B280" t="s">
        <v>732</v>
      </c>
      <c r="C280">
        <v>28</v>
      </c>
      <c r="D280" t="s">
        <v>21</v>
      </c>
      <c r="E280" t="s">
        <v>68</v>
      </c>
      <c r="F280" t="s">
        <v>23</v>
      </c>
      <c r="G280">
        <v>31603</v>
      </c>
      <c r="H280">
        <v>142160</v>
      </c>
      <c r="I280">
        <v>12</v>
      </c>
      <c r="J280">
        <v>12.3</v>
      </c>
      <c r="K280">
        <v>12650.7</v>
      </c>
      <c r="L280" t="s">
        <v>24</v>
      </c>
      <c r="M280" t="s">
        <v>44</v>
      </c>
      <c r="N280" s="12">
        <v>45247</v>
      </c>
      <c r="O280" t="s">
        <v>733</v>
      </c>
      <c r="P280">
        <v>223</v>
      </c>
      <c r="Q280">
        <v>646</v>
      </c>
      <c r="R280" t="s">
        <v>46</v>
      </c>
      <c r="S280">
        <v>0</v>
      </c>
      <c r="T280" s="10" t="s">
        <v>1273</v>
      </c>
      <c r="U280" s="23">
        <f>COUNTIF(Table1[Loan_Status],"Defaulted")/COUNTA(Table1[Loan_ID])</f>
        <v>0.248</v>
      </c>
    </row>
    <row r="281" spans="1:21" x14ac:dyDescent="0.3">
      <c r="A281" t="s">
        <v>734</v>
      </c>
      <c r="B281" t="s">
        <v>735</v>
      </c>
      <c r="C281">
        <v>48</v>
      </c>
      <c r="D281" t="s">
        <v>29</v>
      </c>
      <c r="E281" t="s">
        <v>68</v>
      </c>
      <c r="F281" t="s">
        <v>35</v>
      </c>
      <c r="G281">
        <v>115893</v>
      </c>
      <c r="H281">
        <v>82937</v>
      </c>
      <c r="I281">
        <v>24</v>
      </c>
      <c r="J281">
        <v>33.409999999999997</v>
      </c>
      <c r="K281">
        <v>4784.0600000000004</v>
      </c>
      <c r="L281" t="s">
        <v>24</v>
      </c>
      <c r="M281" t="s">
        <v>25</v>
      </c>
      <c r="N281" s="12">
        <v>44573</v>
      </c>
      <c r="Q281">
        <v>460</v>
      </c>
      <c r="R281" t="s">
        <v>46</v>
      </c>
      <c r="S281">
        <v>0</v>
      </c>
      <c r="T281" s="10" t="s">
        <v>1262</v>
      </c>
      <c r="U281" s="23">
        <f>COUNTIF(Table1[Loan_Status],"Defaulted")/COUNTA(Table1[Loan_ID])</f>
        <v>0.248</v>
      </c>
    </row>
    <row r="282" spans="1:21" x14ac:dyDescent="0.3">
      <c r="A282" t="s">
        <v>736</v>
      </c>
      <c r="B282" t="s">
        <v>737</v>
      </c>
      <c r="C282">
        <v>52</v>
      </c>
      <c r="D282" t="s">
        <v>29</v>
      </c>
      <c r="E282" t="s">
        <v>49</v>
      </c>
      <c r="F282" t="s">
        <v>35</v>
      </c>
      <c r="G282">
        <v>99052</v>
      </c>
      <c r="H282">
        <v>131296</v>
      </c>
      <c r="I282">
        <v>12</v>
      </c>
      <c r="J282">
        <v>35.28</v>
      </c>
      <c r="K282">
        <v>13143.07</v>
      </c>
      <c r="L282" t="s">
        <v>43</v>
      </c>
      <c r="M282" t="s">
        <v>44</v>
      </c>
      <c r="N282" s="12">
        <v>45125</v>
      </c>
      <c r="O282" t="s">
        <v>738</v>
      </c>
      <c r="P282">
        <v>329</v>
      </c>
      <c r="Q282">
        <v>687</v>
      </c>
      <c r="R282" t="s">
        <v>46</v>
      </c>
      <c r="S282">
        <v>0</v>
      </c>
      <c r="T282" s="10" t="s">
        <v>1265</v>
      </c>
      <c r="U282" s="23">
        <f>COUNTIF(Table1[Loan_Status],"Defaulted")/COUNTA(Table1[Loan_ID])</f>
        <v>0.248</v>
      </c>
    </row>
    <row r="283" spans="1:21" x14ac:dyDescent="0.3">
      <c r="A283" t="s">
        <v>739</v>
      </c>
      <c r="B283" t="s">
        <v>740</v>
      </c>
      <c r="C283">
        <v>26</v>
      </c>
      <c r="D283" t="s">
        <v>21</v>
      </c>
      <c r="E283" t="s">
        <v>68</v>
      </c>
      <c r="F283" t="s">
        <v>35</v>
      </c>
      <c r="G283">
        <v>38073</v>
      </c>
      <c r="H283">
        <v>454099</v>
      </c>
      <c r="I283">
        <v>18</v>
      </c>
      <c r="J283">
        <v>22.73</v>
      </c>
      <c r="K283">
        <v>30008.240000000002</v>
      </c>
      <c r="L283" t="s">
        <v>43</v>
      </c>
      <c r="M283" t="s">
        <v>54</v>
      </c>
      <c r="N283" s="12">
        <v>45231</v>
      </c>
      <c r="O283" t="s">
        <v>741</v>
      </c>
      <c r="P283">
        <v>4</v>
      </c>
      <c r="Q283">
        <v>405</v>
      </c>
      <c r="R283" t="s">
        <v>26</v>
      </c>
      <c r="S283">
        <v>0</v>
      </c>
      <c r="T283" s="10" t="s">
        <v>1273</v>
      </c>
      <c r="U283" s="23">
        <f>COUNTIF(Table1[Loan_Status],"Defaulted")/COUNTA(Table1[Loan_ID])</f>
        <v>0.248</v>
      </c>
    </row>
    <row r="284" spans="1:21" x14ac:dyDescent="0.3">
      <c r="A284" t="s">
        <v>742</v>
      </c>
      <c r="B284" t="s">
        <v>743</v>
      </c>
      <c r="C284">
        <v>47</v>
      </c>
      <c r="D284" t="s">
        <v>29</v>
      </c>
      <c r="E284" t="s">
        <v>30</v>
      </c>
      <c r="F284" t="s">
        <v>23</v>
      </c>
      <c r="G284">
        <v>38827</v>
      </c>
      <c r="H284">
        <v>420122</v>
      </c>
      <c r="I284">
        <v>24</v>
      </c>
      <c r="J284">
        <v>35.119999999999997</v>
      </c>
      <c r="K284">
        <v>24611.56</v>
      </c>
      <c r="L284" t="s">
        <v>36</v>
      </c>
      <c r="M284" t="s">
        <v>44</v>
      </c>
      <c r="N284" s="12">
        <v>45232</v>
      </c>
      <c r="O284" t="s">
        <v>744</v>
      </c>
      <c r="P284">
        <v>171</v>
      </c>
      <c r="Q284">
        <v>767</v>
      </c>
      <c r="R284" t="s">
        <v>46</v>
      </c>
      <c r="S284">
        <v>0</v>
      </c>
      <c r="T284" s="10" t="s">
        <v>1273</v>
      </c>
      <c r="U284" s="23">
        <f>COUNTIF(Table1[Loan_Status],"Defaulted")/COUNTA(Table1[Loan_ID])</f>
        <v>0.248</v>
      </c>
    </row>
    <row r="285" spans="1:21" x14ac:dyDescent="0.3">
      <c r="A285" t="s">
        <v>745</v>
      </c>
      <c r="B285" t="s">
        <v>746</v>
      </c>
      <c r="C285">
        <v>24</v>
      </c>
      <c r="D285" t="s">
        <v>29</v>
      </c>
      <c r="E285" t="s">
        <v>68</v>
      </c>
      <c r="F285" t="s">
        <v>35</v>
      </c>
      <c r="G285">
        <v>139029</v>
      </c>
      <c r="H285">
        <v>380735</v>
      </c>
      <c r="I285">
        <v>12</v>
      </c>
      <c r="J285">
        <v>29.18</v>
      </c>
      <c r="K285">
        <v>36963.360000000001</v>
      </c>
      <c r="L285" t="s">
        <v>43</v>
      </c>
      <c r="M285" t="s">
        <v>25</v>
      </c>
      <c r="N285" s="12">
        <v>45236</v>
      </c>
      <c r="Q285">
        <v>527</v>
      </c>
      <c r="R285" t="s">
        <v>26</v>
      </c>
      <c r="S285">
        <v>0</v>
      </c>
      <c r="T285" s="10" t="s">
        <v>1273</v>
      </c>
      <c r="U285" s="23">
        <f>COUNTIF(Table1[Loan_Status],"Defaulted")/COUNTA(Table1[Loan_ID])</f>
        <v>0.248</v>
      </c>
    </row>
    <row r="286" spans="1:21" x14ac:dyDescent="0.3">
      <c r="A286" t="s">
        <v>747</v>
      </c>
      <c r="B286" t="s">
        <v>748</v>
      </c>
      <c r="C286">
        <v>39</v>
      </c>
      <c r="D286" t="s">
        <v>21</v>
      </c>
      <c r="E286" t="s">
        <v>49</v>
      </c>
      <c r="F286" t="s">
        <v>23</v>
      </c>
      <c r="G286">
        <v>58032</v>
      </c>
      <c r="H286">
        <v>263171</v>
      </c>
      <c r="I286">
        <v>6</v>
      </c>
      <c r="J286">
        <v>31.72</v>
      </c>
      <c r="K286">
        <v>48007.97</v>
      </c>
      <c r="L286" t="s">
        <v>31</v>
      </c>
      <c r="M286" t="s">
        <v>25</v>
      </c>
      <c r="N286" s="12">
        <v>44822</v>
      </c>
      <c r="Q286">
        <v>500</v>
      </c>
      <c r="R286" t="s">
        <v>46</v>
      </c>
      <c r="S286">
        <v>0</v>
      </c>
      <c r="T286" s="10" t="s">
        <v>1270</v>
      </c>
      <c r="U286" s="23">
        <f>COUNTIF(Table1[Loan_Status],"Defaulted")/COUNTA(Table1[Loan_ID])</f>
        <v>0.248</v>
      </c>
    </row>
    <row r="287" spans="1:21" x14ac:dyDescent="0.3">
      <c r="A287" t="s">
        <v>749</v>
      </c>
      <c r="B287" t="s">
        <v>750</v>
      </c>
      <c r="C287">
        <v>34</v>
      </c>
      <c r="D287" t="s">
        <v>21</v>
      </c>
      <c r="E287" t="s">
        <v>22</v>
      </c>
      <c r="F287" t="s">
        <v>35</v>
      </c>
      <c r="G287">
        <v>43250</v>
      </c>
      <c r="H287">
        <v>401964</v>
      </c>
      <c r="I287">
        <v>18</v>
      </c>
      <c r="J287">
        <v>13.12</v>
      </c>
      <c r="K287">
        <v>24722.23</v>
      </c>
      <c r="L287" t="s">
        <v>24</v>
      </c>
      <c r="M287" t="s">
        <v>25</v>
      </c>
      <c r="N287" s="12">
        <v>45023</v>
      </c>
      <c r="Q287">
        <v>768</v>
      </c>
      <c r="R287" t="s">
        <v>46</v>
      </c>
      <c r="S287">
        <v>0</v>
      </c>
      <c r="T287" s="10" t="s">
        <v>1278</v>
      </c>
      <c r="U287" s="23">
        <f>COUNTIF(Table1[Loan_Status],"Defaulted")/COUNTA(Table1[Loan_ID])</f>
        <v>0.248</v>
      </c>
    </row>
    <row r="288" spans="1:21" x14ac:dyDescent="0.3">
      <c r="A288" t="s">
        <v>751</v>
      </c>
      <c r="B288" t="s">
        <v>752</v>
      </c>
      <c r="C288">
        <v>29</v>
      </c>
      <c r="D288" t="s">
        <v>21</v>
      </c>
      <c r="E288" t="s">
        <v>49</v>
      </c>
      <c r="F288" t="s">
        <v>23</v>
      </c>
      <c r="G288">
        <v>128458</v>
      </c>
      <c r="H288">
        <v>444781</v>
      </c>
      <c r="I288">
        <v>24</v>
      </c>
      <c r="J288">
        <v>23.59</v>
      </c>
      <c r="K288">
        <v>23425.14</v>
      </c>
      <c r="L288" t="s">
        <v>24</v>
      </c>
      <c r="M288" t="s">
        <v>44</v>
      </c>
      <c r="N288" s="12">
        <v>45270</v>
      </c>
      <c r="O288" t="s">
        <v>753</v>
      </c>
      <c r="P288">
        <v>148</v>
      </c>
      <c r="Q288">
        <v>477</v>
      </c>
      <c r="R288" t="s">
        <v>46</v>
      </c>
      <c r="S288">
        <v>0</v>
      </c>
      <c r="T288" s="10" t="s">
        <v>1282</v>
      </c>
      <c r="U288" s="23">
        <f>COUNTIF(Table1[Loan_Status],"Defaulted")/COUNTA(Table1[Loan_ID])</f>
        <v>0.248</v>
      </c>
    </row>
    <row r="289" spans="1:21" x14ac:dyDescent="0.3">
      <c r="A289" t="s">
        <v>754</v>
      </c>
      <c r="B289" t="s">
        <v>755</v>
      </c>
      <c r="C289">
        <v>27</v>
      </c>
      <c r="D289" t="s">
        <v>21</v>
      </c>
      <c r="E289" t="s">
        <v>30</v>
      </c>
      <c r="F289" t="s">
        <v>35</v>
      </c>
      <c r="G289">
        <v>147149</v>
      </c>
      <c r="H289">
        <v>467102</v>
      </c>
      <c r="I289">
        <v>18</v>
      </c>
      <c r="J289">
        <v>22.05</v>
      </c>
      <c r="K289">
        <v>30713.31</v>
      </c>
      <c r="L289" t="s">
        <v>24</v>
      </c>
      <c r="M289" t="s">
        <v>44</v>
      </c>
      <c r="N289" s="12">
        <v>44842</v>
      </c>
      <c r="O289" t="s">
        <v>91</v>
      </c>
      <c r="P289">
        <v>407</v>
      </c>
      <c r="Q289">
        <v>651</v>
      </c>
      <c r="R289" t="s">
        <v>46</v>
      </c>
      <c r="S289">
        <v>0</v>
      </c>
      <c r="T289" s="10" t="s">
        <v>1267</v>
      </c>
      <c r="U289" s="23">
        <f>COUNTIF(Table1[Loan_Status],"Defaulted")/COUNTA(Table1[Loan_ID])</f>
        <v>0.248</v>
      </c>
    </row>
    <row r="290" spans="1:21" x14ac:dyDescent="0.3">
      <c r="A290" t="s">
        <v>756</v>
      </c>
      <c r="B290" t="s">
        <v>757</v>
      </c>
      <c r="C290">
        <v>29</v>
      </c>
      <c r="D290" t="s">
        <v>29</v>
      </c>
      <c r="E290" t="s">
        <v>68</v>
      </c>
      <c r="F290" t="s">
        <v>35</v>
      </c>
      <c r="G290">
        <v>97289</v>
      </c>
      <c r="H290">
        <v>378227</v>
      </c>
      <c r="I290">
        <v>24</v>
      </c>
      <c r="J290">
        <v>27.18</v>
      </c>
      <c r="K290">
        <v>20602.599999999999</v>
      </c>
      <c r="L290" t="s">
        <v>39</v>
      </c>
      <c r="M290" t="s">
        <v>44</v>
      </c>
      <c r="N290" s="12">
        <v>45201</v>
      </c>
      <c r="O290" t="s">
        <v>758</v>
      </c>
      <c r="P290">
        <v>148</v>
      </c>
      <c r="Q290">
        <v>653</v>
      </c>
      <c r="R290" t="s">
        <v>46</v>
      </c>
      <c r="S290">
        <v>0</v>
      </c>
      <c r="T290" s="10" t="s">
        <v>1279</v>
      </c>
      <c r="U290" s="23">
        <f>COUNTIF(Table1[Loan_Status],"Defaulted")/COUNTA(Table1[Loan_ID])</f>
        <v>0.248</v>
      </c>
    </row>
    <row r="291" spans="1:21" x14ac:dyDescent="0.3">
      <c r="A291" t="s">
        <v>759</v>
      </c>
      <c r="B291" t="s">
        <v>760</v>
      </c>
      <c r="C291">
        <v>32</v>
      </c>
      <c r="D291" t="s">
        <v>21</v>
      </c>
      <c r="E291" t="s">
        <v>49</v>
      </c>
      <c r="F291" t="s">
        <v>35</v>
      </c>
      <c r="G291">
        <v>140926</v>
      </c>
      <c r="H291">
        <v>310558</v>
      </c>
      <c r="I291">
        <v>24</v>
      </c>
      <c r="J291">
        <v>34.619999999999997</v>
      </c>
      <c r="K291">
        <v>18111.23</v>
      </c>
      <c r="L291" t="s">
        <v>31</v>
      </c>
      <c r="M291" t="s">
        <v>32</v>
      </c>
      <c r="N291" s="12">
        <v>44994</v>
      </c>
      <c r="Q291">
        <v>313</v>
      </c>
      <c r="R291" t="s">
        <v>26</v>
      </c>
      <c r="S291">
        <v>144692.39000000001</v>
      </c>
      <c r="T291" s="10" t="s">
        <v>1271</v>
      </c>
      <c r="U291" s="23">
        <f>COUNTIF(Table1[Loan_Status],"Defaulted")/COUNTA(Table1[Loan_ID])</f>
        <v>0.248</v>
      </c>
    </row>
    <row r="292" spans="1:21" x14ac:dyDescent="0.3">
      <c r="A292" t="s">
        <v>761</v>
      </c>
      <c r="B292" t="s">
        <v>762</v>
      </c>
      <c r="C292">
        <v>45</v>
      </c>
      <c r="D292" t="s">
        <v>29</v>
      </c>
      <c r="E292" t="s">
        <v>49</v>
      </c>
      <c r="F292" t="s">
        <v>23</v>
      </c>
      <c r="G292">
        <v>67403</v>
      </c>
      <c r="H292">
        <v>144973</v>
      </c>
      <c r="I292">
        <v>6</v>
      </c>
      <c r="J292">
        <v>35.6</v>
      </c>
      <c r="K292">
        <v>26732.09</v>
      </c>
      <c r="L292" t="s">
        <v>36</v>
      </c>
      <c r="M292" t="s">
        <v>44</v>
      </c>
      <c r="N292" s="12">
        <v>44625</v>
      </c>
      <c r="O292" t="s">
        <v>163</v>
      </c>
      <c r="P292">
        <v>707</v>
      </c>
      <c r="Q292">
        <v>602</v>
      </c>
      <c r="R292" t="s">
        <v>46</v>
      </c>
      <c r="S292">
        <v>0</v>
      </c>
      <c r="T292" s="10" t="s">
        <v>1264</v>
      </c>
      <c r="U292" s="23">
        <f>COUNTIF(Table1[Loan_Status],"Defaulted")/COUNTA(Table1[Loan_ID])</f>
        <v>0.248</v>
      </c>
    </row>
    <row r="293" spans="1:21" x14ac:dyDescent="0.3">
      <c r="A293" t="s">
        <v>763</v>
      </c>
      <c r="B293" t="s">
        <v>764</v>
      </c>
      <c r="C293">
        <v>23</v>
      </c>
      <c r="D293" t="s">
        <v>21</v>
      </c>
      <c r="E293" t="s">
        <v>68</v>
      </c>
      <c r="F293" t="s">
        <v>23</v>
      </c>
      <c r="G293">
        <v>73800</v>
      </c>
      <c r="H293">
        <v>394238</v>
      </c>
      <c r="I293">
        <v>24</v>
      </c>
      <c r="J293">
        <v>21.33</v>
      </c>
      <c r="K293">
        <v>20322.13</v>
      </c>
      <c r="L293" t="s">
        <v>24</v>
      </c>
      <c r="M293" t="s">
        <v>32</v>
      </c>
      <c r="N293" s="12">
        <v>45271</v>
      </c>
      <c r="Q293">
        <v>348</v>
      </c>
      <c r="R293" t="s">
        <v>26</v>
      </c>
      <c r="S293">
        <v>295102.65999999997</v>
      </c>
      <c r="T293" s="10" t="s">
        <v>1282</v>
      </c>
      <c r="U293" s="23">
        <f>COUNTIF(Table1[Loan_Status],"Defaulted")/COUNTA(Table1[Loan_ID])</f>
        <v>0.248</v>
      </c>
    </row>
    <row r="294" spans="1:21" x14ac:dyDescent="0.3">
      <c r="A294" t="s">
        <v>765</v>
      </c>
      <c r="B294" t="s">
        <v>766</v>
      </c>
      <c r="C294">
        <v>47</v>
      </c>
      <c r="D294" t="s">
        <v>21</v>
      </c>
      <c r="E294" t="s">
        <v>30</v>
      </c>
      <c r="F294" t="s">
        <v>23</v>
      </c>
      <c r="G294">
        <v>18398</v>
      </c>
      <c r="H294">
        <v>394897</v>
      </c>
      <c r="I294">
        <v>12</v>
      </c>
      <c r="J294">
        <v>16.87</v>
      </c>
      <c r="K294">
        <v>35992.120000000003</v>
      </c>
      <c r="L294" t="s">
        <v>31</v>
      </c>
      <c r="M294" t="s">
        <v>44</v>
      </c>
      <c r="N294" s="12">
        <v>45210</v>
      </c>
      <c r="O294" t="s">
        <v>767</v>
      </c>
      <c r="P294">
        <v>188</v>
      </c>
      <c r="Q294">
        <v>501</v>
      </c>
      <c r="R294" t="s">
        <v>46</v>
      </c>
      <c r="S294">
        <v>0</v>
      </c>
      <c r="T294" s="10" t="s">
        <v>1279</v>
      </c>
      <c r="U294" s="23">
        <f>COUNTIF(Table1[Loan_Status],"Defaulted")/COUNTA(Table1[Loan_ID])</f>
        <v>0.248</v>
      </c>
    </row>
    <row r="295" spans="1:21" x14ac:dyDescent="0.3">
      <c r="A295" t="s">
        <v>768</v>
      </c>
      <c r="B295" t="s">
        <v>769</v>
      </c>
      <c r="C295">
        <v>39</v>
      </c>
      <c r="D295" t="s">
        <v>21</v>
      </c>
      <c r="E295" t="s">
        <v>22</v>
      </c>
      <c r="F295" t="s">
        <v>23</v>
      </c>
      <c r="G295">
        <v>64014</v>
      </c>
      <c r="H295">
        <v>96118</v>
      </c>
      <c r="I295">
        <v>24</v>
      </c>
      <c r="J295">
        <v>14.86</v>
      </c>
      <c r="K295">
        <v>4654.05</v>
      </c>
      <c r="L295" t="s">
        <v>43</v>
      </c>
      <c r="M295" t="s">
        <v>54</v>
      </c>
      <c r="N295" s="12">
        <v>44847</v>
      </c>
      <c r="O295" t="s">
        <v>646</v>
      </c>
      <c r="P295">
        <v>569</v>
      </c>
      <c r="Q295">
        <v>570</v>
      </c>
      <c r="R295" t="s">
        <v>26</v>
      </c>
      <c r="S295">
        <v>0</v>
      </c>
      <c r="T295" s="10" t="s">
        <v>1267</v>
      </c>
      <c r="U295" s="23">
        <f>COUNTIF(Table1[Loan_Status],"Defaulted")/COUNTA(Table1[Loan_ID])</f>
        <v>0.248</v>
      </c>
    </row>
    <row r="296" spans="1:21" x14ac:dyDescent="0.3">
      <c r="A296" t="s">
        <v>770</v>
      </c>
      <c r="B296" t="s">
        <v>771</v>
      </c>
      <c r="C296">
        <v>31</v>
      </c>
      <c r="D296" t="s">
        <v>21</v>
      </c>
      <c r="E296" t="s">
        <v>49</v>
      </c>
      <c r="F296" t="s">
        <v>35</v>
      </c>
      <c r="G296">
        <v>137245</v>
      </c>
      <c r="H296">
        <v>377081</v>
      </c>
      <c r="I296">
        <v>6</v>
      </c>
      <c r="J296">
        <v>12.96</v>
      </c>
      <c r="K296">
        <v>65243.71</v>
      </c>
      <c r="L296" t="s">
        <v>36</v>
      </c>
      <c r="M296" t="s">
        <v>25</v>
      </c>
      <c r="N296" s="12">
        <v>45202</v>
      </c>
      <c r="Q296">
        <v>608</v>
      </c>
      <c r="R296" t="s">
        <v>46</v>
      </c>
      <c r="S296">
        <v>0</v>
      </c>
      <c r="T296" s="10" t="s">
        <v>1279</v>
      </c>
      <c r="U296" s="23">
        <f>COUNTIF(Table1[Loan_Status],"Defaulted")/COUNTA(Table1[Loan_ID])</f>
        <v>0.248</v>
      </c>
    </row>
    <row r="297" spans="1:21" x14ac:dyDescent="0.3">
      <c r="A297" t="s">
        <v>772</v>
      </c>
      <c r="B297" t="s">
        <v>773</v>
      </c>
      <c r="C297">
        <v>25</v>
      </c>
      <c r="D297" t="s">
        <v>21</v>
      </c>
      <c r="E297" t="s">
        <v>30</v>
      </c>
      <c r="F297" t="s">
        <v>23</v>
      </c>
      <c r="G297">
        <v>63200</v>
      </c>
      <c r="H297">
        <v>277947</v>
      </c>
      <c r="I297">
        <v>3</v>
      </c>
      <c r="J297">
        <v>30.87</v>
      </c>
      <c r="K297">
        <v>97456.15</v>
      </c>
      <c r="L297" t="s">
        <v>39</v>
      </c>
      <c r="M297" t="s">
        <v>54</v>
      </c>
      <c r="N297" s="12">
        <v>45118</v>
      </c>
      <c r="O297" t="s">
        <v>774</v>
      </c>
      <c r="P297">
        <v>274</v>
      </c>
      <c r="Q297">
        <v>713</v>
      </c>
      <c r="R297" t="s">
        <v>26</v>
      </c>
      <c r="S297">
        <v>0</v>
      </c>
      <c r="T297" s="10" t="s">
        <v>1265</v>
      </c>
      <c r="U297" s="23">
        <f>COUNTIF(Table1[Loan_Status],"Defaulted")/COUNTA(Table1[Loan_ID])</f>
        <v>0.248</v>
      </c>
    </row>
    <row r="298" spans="1:21" x14ac:dyDescent="0.3">
      <c r="A298" t="s">
        <v>775</v>
      </c>
      <c r="B298" t="s">
        <v>776</v>
      </c>
      <c r="C298">
        <v>43</v>
      </c>
      <c r="D298" t="s">
        <v>29</v>
      </c>
      <c r="E298" t="s">
        <v>22</v>
      </c>
      <c r="F298" t="s">
        <v>35</v>
      </c>
      <c r="G298">
        <v>101787</v>
      </c>
      <c r="H298">
        <v>194161</v>
      </c>
      <c r="I298">
        <v>12</v>
      </c>
      <c r="J298">
        <v>17.239999999999998</v>
      </c>
      <c r="K298">
        <v>17730.53</v>
      </c>
      <c r="L298" t="s">
        <v>24</v>
      </c>
      <c r="M298" t="s">
        <v>54</v>
      </c>
      <c r="N298" s="12">
        <v>45136</v>
      </c>
      <c r="O298" t="s">
        <v>106</v>
      </c>
      <c r="P298">
        <v>332</v>
      </c>
      <c r="Q298">
        <v>309</v>
      </c>
      <c r="R298" t="s">
        <v>26</v>
      </c>
      <c r="S298">
        <v>0</v>
      </c>
      <c r="T298" s="10" t="s">
        <v>1265</v>
      </c>
      <c r="U298" s="23">
        <f>COUNTIF(Table1[Loan_Status],"Defaulted")/COUNTA(Table1[Loan_ID])</f>
        <v>0.248</v>
      </c>
    </row>
    <row r="299" spans="1:21" x14ac:dyDescent="0.3">
      <c r="A299" t="s">
        <v>777</v>
      </c>
      <c r="B299" t="s">
        <v>778</v>
      </c>
      <c r="C299">
        <v>43</v>
      </c>
      <c r="D299" t="s">
        <v>21</v>
      </c>
      <c r="E299" t="s">
        <v>22</v>
      </c>
      <c r="F299" t="s">
        <v>23</v>
      </c>
      <c r="G299">
        <v>25453</v>
      </c>
      <c r="H299">
        <v>362853</v>
      </c>
      <c r="I299">
        <v>12</v>
      </c>
      <c r="J299">
        <v>21.15</v>
      </c>
      <c r="K299">
        <v>33812.74</v>
      </c>
      <c r="L299" t="s">
        <v>43</v>
      </c>
      <c r="M299" t="s">
        <v>54</v>
      </c>
      <c r="N299" s="12">
        <v>44824</v>
      </c>
      <c r="O299" t="s">
        <v>403</v>
      </c>
      <c r="P299">
        <v>553</v>
      </c>
      <c r="Q299">
        <v>589</v>
      </c>
      <c r="R299" t="s">
        <v>26</v>
      </c>
      <c r="S299">
        <v>0</v>
      </c>
      <c r="T299" s="10" t="s">
        <v>1270</v>
      </c>
      <c r="U299" s="23">
        <f>COUNTIF(Table1[Loan_Status],"Defaulted")/COUNTA(Table1[Loan_ID])</f>
        <v>0.248</v>
      </c>
    </row>
    <row r="300" spans="1:21" x14ac:dyDescent="0.3">
      <c r="A300" t="s">
        <v>779</v>
      </c>
      <c r="B300" t="s">
        <v>780</v>
      </c>
      <c r="C300">
        <v>54</v>
      </c>
      <c r="D300" t="s">
        <v>21</v>
      </c>
      <c r="E300" t="s">
        <v>30</v>
      </c>
      <c r="F300" t="s">
        <v>35</v>
      </c>
      <c r="G300">
        <v>142612</v>
      </c>
      <c r="H300">
        <v>27990</v>
      </c>
      <c r="I300">
        <v>12</v>
      </c>
      <c r="J300">
        <v>33.56</v>
      </c>
      <c r="K300">
        <v>2777.91</v>
      </c>
      <c r="L300" t="s">
        <v>39</v>
      </c>
      <c r="M300" t="s">
        <v>32</v>
      </c>
      <c r="N300" s="12">
        <v>45088</v>
      </c>
      <c r="Q300">
        <v>384</v>
      </c>
      <c r="R300" t="s">
        <v>26</v>
      </c>
      <c r="S300">
        <v>21377.31</v>
      </c>
      <c r="T300" s="10" t="s">
        <v>1276</v>
      </c>
      <c r="U300" s="23">
        <f>COUNTIF(Table1[Loan_Status],"Defaulted")/COUNTA(Table1[Loan_ID])</f>
        <v>0.248</v>
      </c>
    </row>
    <row r="301" spans="1:21" x14ac:dyDescent="0.3">
      <c r="A301" t="s">
        <v>781</v>
      </c>
      <c r="B301" t="s">
        <v>782</v>
      </c>
      <c r="C301">
        <v>55</v>
      </c>
      <c r="D301" t="s">
        <v>29</v>
      </c>
      <c r="E301" t="s">
        <v>49</v>
      </c>
      <c r="F301" t="s">
        <v>23</v>
      </c>
      <c r="G301">
        <v>70882</v>
      </c>
      <c r="H301">
        <v>458483</v>
      </c>
      <c r="I301">
        <v>18</v>
      </c>
      <c r="J301">
        <v>32.06</v>
      </c>
      <c r="K301">
        <v>32417.24</v>
      </c>
      <c r="L301" t="s">
        <v>39</v>
      </c>
      <c r="M301" t="s">
        <v>54</v>
      </c>
      <c r="N301" s="12">
        <v>45224</v>
      </c>
      <c r="O301" t="s">
        <v>783</v>
      </c>
      <c r="P301">
        <v>209</v>
      </c>
      <c r="Q301">
        <v>373</v>
      </c>
      <c r="R301" t="s">
        <v>26</v>
      </c>
      <c r="S301">
        <v>0</v>
      </c>
      <c r="T301" s="10" t="s">
        <v>1279</v>
      </c>
      <c r="U301" s="23">
        <f>COUNTIF(Table1[Loan_Status],"Defaulted")/COUNTA(Table1[Loan_ID])</f>
        <v>0.248</v>
      </c>
    </row>
    <row r="302" spans="1:21" x14ac:dyDescent="0.3">
      <c r="A302" t="s">
        <v>784</v>
      </c>
      <c r="B302" t="s">
        <v>785</v>
      </c>
      <c r="C302">
        <v>22</v>
      </c>
      <c r="D302" t="s">
        <v>21</v>
      </c>
      <c r="E302" t="s">
        <v>42</v>
      </c>
      <c r="F302" t="s">
        <v>23</v>
      </c>
      <c r="G302">
        <v>37943</v>
      </c>
      <c r="H302">
        <v>43403</v>
      </c>
      <c r="I302">
        <v>3</v>
      </c>
      <c r="J302">
        <v>16.27</v>
      </c>
      <c r="K302">
        <v>14861.74</v>
      </c>
      <c r="L302" t="s">
        <v>36</v>
      </c>
      <c r="M302" t="s">
        <v>25</v>
      </c>
      <c r="N302" s="12">
        <v>45150</v>
      </c>
      <c r="Q302">
        <v>533</v>
      </c>
      <c r="R302" t="s">
        <v>46</v>
      </c>
      <c r="S302">
        <v>0</v>
      </c>
      <c r="T302" s="10" t="s">
        <v>1261</v>
      </c>
      <c r="U302" s="23">
        <f>COUNTIF(Table1[Loan_Status],"Defaulted")/COUNTA(Table1[Loan_ID])</f>
        <v>0.248</v>
      </c>
    </row>
    <row r="303" spans="1:21" x14ac:dyDescent="0.3">
      <c r="A303" t="s">
        <v>786</v>
      </c>
      <c r="B303" t="s">
        <v>135</v>
      </c>
      <c r="C303">
        <v>45</v>
      </c>
      <c r="D303" t="s">
        <v>21</v>
      </c>
      <c r="E303" t="s">
        <v>68</v>
      </c>
      <c r="F303" t="s">
        <v>35</v>
      </c>
      <c r="G303">
        <v>97943</v>
      </c>
      <c r="H303">
        <v>13855</v>
      </c>
      <c r="I303">
        <v>18</v>
      </c>
      <c r="J303">
        <v>28.16</v>
      </c>
      <c r="K303">
        <v>952.56</v>
      </c>
      <c r="L303" t="s">
        <v>24</v>
      </c>
      <c r="M303" t="s">
        <v>25</v>
      </c>
      <c r="N303" s="12">
        <v>45218</v>
      </c>
      <c r="Q303">
        <v>364</v>
      </c>
      <c r="R303" t="s">
        <v>46</v>
      </c>
      <c r="S303">
        <v>0</v>
      </c>
      <c r="T303" s="10" t="s">
        <v>1279</v>
      </c>
      <c r="U303" s="23">
        <f>COUNTIF(Table1[Loan_Status],"Defaulted")/COUNTA(Table1[Loan_ID])</f>
        <v>0.248</v>
      </c>
    </row>
    <row r="304" spans="1:21" x14ac:dyDescent="0.3">
      <c r="A304" t="s">
        <v>788</v>
      </c>
      <c r="B304" t="s">
        <v>789</v>
      </c>
      <c r="C304">
        <v>25</v>
      </c>
      <c r="D304" t="s">
        <v>21</v>
      </c>
      <c r="E304" t="s">
        <v>30</v>
      </c>
      <c r="F304" t="s">
        <v>23</v>
      </c>
      <c r="G304">
        <v>90978</v>
      </c>
      <c r="H304">
        <v>417557</v>
      </c>
      <c r="I304">
        <v>12</v>
      </c>
      <c r="J304">
        <v>26.56</v>
      </c>
      <c r="K304">
        <v>40003.15</v>
      </c>
      <c r="L304" t="s">
        <v>36</v>
      </c>
      <c r="M304" t="s">
        <v>54</v>
      </c>
      <c r="N304" s="12">
        <v>44952</v>
      </c>
      <c r="O304" t="s">
        <v>790</v>
      </c>
      <c r="P304">
        <v>404</v>
      </c>
      <c r="Q304">
        <v>331</v>
      </c>
      <c r="R304" t="s">
        <v>26</v>
      </c>
      <c r="S304">
        <v>0</v>
      </c>
      <c r="T304" s="10" t="s">
        <v>1266</v>
      </c>
      <c r="U304" s="23">
        <f>COUNTIF(Table1[Loan_Status],"Defaulted")/COUNTA(Table1[Loan_ID])</f>
        <v>0.248</v>
      </c>
    </row>
    <row r="305" spans="1:21" x14ac:dyDescent="0.3">
      <c r="A305" t="s">
        <v>791</v>
      </c>
      <c r="B305" t="s">
        <v>792</v>
      </c>
      <c r="C305">
        <v>31</v>
      </c>
      <c r="D305" t="s">
        <v>29</v>
      </c>
      <c r="E305" t="s">
        <v>22</v>
      </c>
      <c r="F305" t="s">
        <v>35</v>
      </c>
      <c r="G305">
        <v>92326</v>
      </c>
      <c r="H305">
        <v>337422</v>
      </c>
      <c r="I305">
        <v>6</v>
      </c>
      <c r="J305">
        <v>19.149999999999999</v>
      </c>
      <c r="K305">
        <v>59419.51</v>
      </c>
      <c r="L305" t="s">
        <v>36</v>
      </c>
      <c r="M305" t="s">
        <v>25</v>
      </c>
      <c r="N305" s="12">
        <v>45128</v>
      </c>
      <c r="Q305">
        <v>444</v>
      </c>
      <c r="R305" t="s">
        <v>26</v>
      </c>
      <c r="S305">
        <v>0</v>
      </c>
      <c r="T305" s="10" t="s">
        <v>1265</v>
      </c>
      <c r="U305" s="23">
        <f>COUNTIF(Table1[Loan_Status],"Defaulted")/COUNTA(Table1[Loan_ID])</f>
        <v>0.248</v>
      </c>
    </row>
    <row r="306" spans="1:21" x14ac:dyDescent="0.3">
      <c r="A306" t="s">
        <v>793</v>
      </c>
      <c r="B306" t="s">
        <v>794</v>
      </c>
      <c r="C306">
        <v>46</v>
      </c>
      <c r="D306" t="s">
        <v>29</v>
      </c>
      <c r="E306" t="s">
        <v>42</v>
      </c>
      <c r="F306" t="s">
        <v>23</v>
      </c>
      <c r="G306">
        <v>105138</v>
      </c>
      <c r="H306">
        <v>116011</v>
      </c>
      <c r="I306">
        <v>18</v>
      </c>
      <c r="J306">
        <v>33.74</v>
      </c>
      <c r="K306">
        <v>8301.27</v>
      </c>
      <c r="L306" t="s">
        <v>24</v>
      </c>
      <c r="M306" t="s">
        <v>44</v>
      </c>
      <c r="N306" s="12">
        <v>44726</v>
      </c>
      <c r="O306" t="s">
        <v>795</v>
      </c>
      <c r="P306">
        <v>188</v>
      </c>
      <c r="Q306">
        <v>526</v>
      </c>
      <c r="R306" t="s">
        <v>46</v>
      </c>
      <c r="S306">
        <v>0</v>
      </c>
      <c r="T306" s="10" t="s">
        <v>1268</v>
      </c>
      <c r="U306" s="23">
        <f>COUNTIF(Table1[Loan_Status],"Defaulted")/COUNTA(Table1[Loan_ID])</f>
        <v>0.248</v>
      </c>
    </row>
    <row r="307" spans="1:21" x14ac:dyDescent="0.3">
      <c r="A307" t="s">
        <v>796</v>
      </c>
      <c r="B307" t="s">
        <v>797</v>
      </c>
      <c r="C307">
        <v>33</v>
      </c>
      <c r="D307" t="s">
        <v>29</v>
      </c>
      <c r="E307" t="s">
        <v>22</v>
      </c>
      <c r="F307" t="s">
        <v>23</v>
      </c>
      <c r="G307">
        <v>135917</v>
      </c>
      <c r="H307">
        <v>342995</v>
      </c>
      <c r="I307">
        <v>24</v>
      </c>
      <c r="J307">
        <v>13.76</v>
      </c>
      <c r="K307">
        <v>16429.32</v>
      </c>
      <c r="L307" t="s">
        <v>43</v>
      </c>
      <c r="M307" t="s">
        <v>32</v>
      </c>
      <c r="N307" s="12">
        <v>44662</v>
      </c>
      <c r="Q307">
        <v>502</v>
      </c>
      <c r="R307" t="s">
        <v>26</v>
      </c>
      <c r="S307">
        <v>208510.94</v>
      </c>
      <c r="T307" s="10" t="s">
        <v>1274</v>
      </c>
      <c r="U307" s="23">
        <f>COUNTIF(Table1[Loan_Status],"Defaulted")/COUNTA(Table1[Loan_ID])</f>
        <v>0.248</v>
      </c>
    </row>
    <row r="308" spans="1:21" x14ac:dyDescent="0.3">
      <c r="A308" t="s">
        <v>798</v>
      </c>
      <c r="B308" t="s">
        <v>799</v>
      </c>
      <c r="C308">
        <v>42</v>
      </c>
      <c r="D308" t="s">
        <v>21</v>
      </c>
      <c r="E308" t="s">
        <v>22</v>
      </c>
      <c r="F308" t="s">
        <v>23</v>
      </c>
      <c r="G308">
        <v>41226</v>
      </c>
      <c r="H308">
        <v>154493</v>
      </c>
      <c r="I308">
        <v>24</v>
      </c>
      <c r="J308">
        <v>13.68</v>
      </c>
      <c r="K308">
        <v>7394.32</v>
      </c>
      <c r="L308" t="s">
        <v>39</v>
      </c>
      <c r="M308" t="s">
        <v>32</v>
      </c>
      <c r="N308" s="12">
        <v>45059</v>
      </c>
      <c r="Q308">
        <v>761</v>
      </c>
      <c r="R308" t="s">
        <v>26</v>
      </c>
      <c r="S308">
        <v>50958.32</v>
      </c>
      <c r="T308" s="10" t="s">
        <v>1283</v>
      </c>
      <c r="U308" s="23">
        <f>COUNTIF(Table1[Loan_Status],"Defaulted")/COUNTA(Table1[Loan_ID])</f>
        <v>0.248</v>
      </c>
    </row>
    <row r="309" spans="1:21" x14ac:dyDescent="0.3">
      <c r="A309" t="s">
        <v>800</v>
      </c>
      <c r="B309" t="s">
        <v>801</v>
      </c>
      <c r="C309">
        <v>30</v>
      </c>
      <c r="D309" t="s">
        <v>21</v>
      </c>
      <c r="E309" t="s">
        <v>42</v>
      </c>
      <c r="F309" t="s">
        <v>35</v>
      </c>
      <c r="G309">
        <v>59207</v>
      </c>
      <c r="H309">
        <v>7533</v>
      </c>
      <c r="I309">
        <v>12</v>
      </c>
      <c r="J309">
        <v>17.91</v>
      </c>
      <c r="K309">
        <v>690.3</v>
      </c>
      <c r="L309" t="s">
        <v>39</v>
      </c>
      <c r="M309" t="s">
        <v>54</v>
      </c>
      <c r="N309" s="12">
        <v>44845</v>
      </c>
      <c r="O309" t="s">
        <v>634</v>
      </c>
      <c r="P309">
        <v>368</v>
      </c>
      <c r="Q309">
        <v>437</v>
      </c>
      <c r="R309" t="s">
        <v>26</v>
      </c>
      <c r="S309">
        <v>0</v>
      </c>
      <c r="T309" s="10" t="s">
        <v>1267</v>
      </c>
      <c r="U309" s="23">
        <f>COUNTIF(Table1[Loan_Status],"Defaulted")/COUNTA(Table1[Loan_ID])</f>
        <v>0.248</v>
      </c>
    </row>
    <row r="310" spans="1:21" x14ac:dyDescent="0.3">
      <c r="A310" t="s">
        <v>802</v>
      </c>
      <c r="B310" t="s">
        <v>803</v>
      </c>
      <c r="C310">
        <v>51</v>
      </c>
      <c r="D310" t="s">
        <v>21</v>
      </c>
      <c r="E310" t="s">
        <v>68</v>
      </c>
      <c r="F310" t="s">
        <v>35</v>
      </c>
      <c r="G310">
        <v>95077</v>
      </c>
      <c r="H310">
        <v>260313</v>
      </c>
      <c r="I310">
        <v>24</v>
      </c>
      <c r="J310">
        <v>14.61</v>
      </c>
      <c r="K310">
        <v>12573.52</v>
      </c>
      <c r="L310" t="s">
        <v>24</v>
      </c>
      <c r="M310" t="s">
        <v>25</v>
      </c>
      <c r="N310" s="12">
        <v>44849</v>
      </c>
      <c r="Q310">
        <v>443</v>
      </c>
      <c r="R310" t="s">
        <v>46</v>
      </c>
      <c r="S310">
        <v>0</v>
      </c>
      <c r="T310" s="10" t="s">
        <v>1267</v>
      </c>
      <c r="U310" s="23">
        <f>COUNTIF(Table1[Loan_Status],"Defaulted")/COUNTA(Table1[Loan_ID])</f>
        <v>0.248</v>
      </c>
    </row>
    <row r="311" spans="1:21" x14ac:dyDescent="0.3">
      <c r="A311" t="s">
        <v>804</v>
      </c>
      <c r="B311" t="s">
        <v>805</v>
      </c>
      <c r="C311">
        <v>37</v>
      </c>
      <c r="D311" t="s">
        <v>29</v>
      </c>
      <c r="E311" t="s">
        <v>49</v>
      </c>
      <c r="F311" t="s">
        <v>23</v>
      </c>
      <c r="G311">
        <v>147953</v>
      </c>
      <c r="H311">
        <v>336154</v>
      </c>
      <c r="I311">
        <v>3</v>
      </c>
      <c r="J311">
        <v>31.5</v>
      </c>
      <c r="K311">
        <v>117984.83</v>
      </c>
      <c r="L311" t="s">
        <v>24</v>
      </c>
      <c r="M311" t="s">
        <v>54</v>
      </c>
      <c r="N311" s="12">
        <v>45166</v>
      </c>
      <c r="O311" t="s">
        <v>806</v>
      </c>
      <c r="P311">
        <v>108</v>
      </c>
      <c r="Q311">
        <v>337</v>
      </c>
      <c r="R311" t="s">
        <v>26</v>
      </c>
      <c r="S311">
        <v>0</v>
      </c>
      <c r="T311" s="10" t="s">
        <v>1261</v>
      </c>
      <c r="U311" s="23">
        <f>COUNTIF(Table1[Loan_Status],"Defaulted")/COUNTA(Table1[Loan_ID])</f>
        <v>0.248</v>
      </c>
    </row>
    <row r="312" spans="1:21" x14ac:dyDescent="0.3">
      <c r="A312" t="s">
        <v>807</v>
      </c>
      <c r="B312" t="s">
        <v>808</v>
      </c>
      <c r="C312">
        <v>55</v>
      </c>
      <c r="D312" t="s">
        <v>21</v>
      </c>
      <c r="E312" t="s">
        <v>22</v>
      </c>
      <c r="F312" t="s">
        <v>35</v>
      </c>
      <c r="G312">
        <v>117891</v>
      </c>
      <c r="H312">
        <v>122076</v>
      </c>
      <c r="I312">
        <v>24</v>
      </c>
      <c r="J312">
        <v>29.6</v>
      </c>
      <c r="K312">
        <v>6800.5</v>
      </c>
      <c r="L312" t="s">
        <v>36</v>
      </c>
      <c r="M312" t="s">
        <v>44</v>
      </c>
      <c r="N312" s="12">
        <v>45037</v>
      </c>
      <c r="O312" t="s">
        <v>809</v>
      </c>
      <c r="P312">
        <v>256</v>
      </c>
      <c r="Q312">
        <v>822</v>
      </c>
      <c r="R312" t="s">
        <v>26</v>
      </c>
      <c r="S312">
        <v>0</v>
      </c>
      <c r="T312" s="10" t="s">
        <v>1278</v>
      </c>
      <c r="U312" s="23">
        <f>COUNTIF(Table1[Loan_Status],"Defaulted")/COUNTA(Table1[Loan_ID])</f>
        <v>0.248</v>
      </c>
    </row>
    <row r="313" spans="1:21" x14ac:dyDescent="0.3">
      <c r="A313" t="s">
        <v>810</v>
      </c>
      <c r="B313" t="s">
        <v>811</v>
      </c>
      <c r="C313">
        <v>53</v>
      </c>
      <c r="D313" t="s">
        <v>29</v>
      </c>
      <c r="E313" t="s">
        <v>22</v>
      </c>
      <c r="F313" t="s">
        <v>23</v>
      </c>
      <c r="G313">
        <v>149777</v>
      </c>
      <c r="H313">
        <v>78594</v>
      </c>
      <c r="I313">
        <v>18</v>
      </c>
      <c r="J313">
        <v>15.82</v>
      </c>
      <c r="K313">
        <v>4933.45</v>
      </c>
      <c r="L313" t="s">
        <v>24</v>
      </c>
      <c r="M313" t="s">
        <v>44</v>
      </c>
      <c r="N313" s="12">
        <v>45057</v>
      </c>
      <c r="O313" t="s">
        <v>812</v>
      </c>
      <c r="P313">
        <v>183</v>
      </c>
      <c r="Q313">
        <v>341</v>
      </c>
      <c r="R313" t="s">
        <v>46</v>
      </c>
      <c r="S313">
        <v>0</v>
      </c>
      <c r="T313" s="10" t="s">
        <v>1283</v>
      </c>
      <c r="U313" s="23">
        <f>COUNTIF(Table1[Loan_Status],"Defaulted")/COUNTA(Table1[Loan_ID])</f>
        <v>0.248</v>
      </c>
    </row>
    <row r="314" spans="1:21" x14ac:dyDescent="0.3">
      <c r="A314" t="s">
        <v>813</v>
      </c>
      <c r="B314" t="s">
        <v>814</v>
      </c>
      <c r="C314">
        <v>35</v>
      </c>
      <c r="D314" t="s">
        <v>29</v>
      </c>
      <c r="E314" t="s">
        <v>42</v>
      </c>
      <c r="F314" t="s">
        <v>35</v>
      </c>
      <c r="G314">
        <v>76346</v>
      </c>
      <c r="H314">
        <v>27443</v>
      </c>
      <c r="I314">
        <v>6</v>
      </c>
      <c r="J314">
        <v>24.43</v>
      </c>
      <c r="K314">
        <v>4905.21</v>
      </c>
      <c r="L314" t="s">
        <v>36</v>
      </c>
      <c r="M314" t="s">
        <v>54</v>
      </c>
      <c r="N314" s="12">
        <v>45042</v>
      </c>
      <c r="O314" t="s">
        <v>806</v>
      </c>
      <c r="P314">
        <v>232</v>
      </c>
      <c r="Q314">
        <v>347</v>
      </c>
      <c r="R314" t="s">
        <v>26</v>
      </c>
      <c r="S314">
        <v>0</v>
      </c>
      <c r="T314" s="10" t="s">
        <v>1278</v>
      </c>
      <c r="U314" s="23">
        <f>COUNTIF(Table1[Loan_Status],"Defaulted")/COUNTA(Table1[Loan_ID])</f>
        <v>0.248</v>
      </c>
    </row>
    <row r="315" spans="1:21" x14ac:dyDescent="0.3">
      <c r="A315" t="s">
        <v>815</v>
      </c>
      <c r="B315" t="s">
        <v>816</v>
      </c>
      <c r="C315">
        <v>41</v>
      </c>
      <c r="D315" t="s">
        <v>29</v>
      </c>
      <c r="E315" t="s">
        <v>30</v>
      </c>
      <c r="F315" t="s">
        <v>35</v>
      </c>
      <c r="G315">
        <v>84026</v>
      </c>
      <c r="H315">
        <v>308369</v>
      </c>
      <c r="I315">
        <v>24</v>
      </c>
      <c r="J315">
        <v>25.68</v>
      </c>
      <c r="K315">
        <v>16563.52</v>
      </c>
      <c r="L315" t="s">
        <v>31</v>
      </c>
      <c r="M315" t="s">
        <v>54</v>
      </c>
      <c r="N315" s="12">
        <v>44936</v>
      </c>
      <c r="O315" t="s">
        <v>81</v>
      </c>
      <c r="P315">
        <v>79</v>
      </c>
      <c r="Q315">
        <v>829</v>
      </c>
      <c r="R315" t="s">
        <v>26</v>
      </c>
      <c r="S315">
        <v>0</v>
      </c>
      <c r="T315" s="10" t="s">
        <v>1266</v>
      </c>
      <c r="U315" s="23">
        <f>COUNTIF(Table1[Loan_Status],"Defaulted")/COUNTA(Table1[Loan_ID])</f>
        <v>0.248</v>
      </c>
    </row>
    <row r="316" spans="1:21" x14ac:dyDescent="0.3">
      <c r="A316" t="s">
        <v>817</v>
      </c>
      <c r="B316" t="s">
        <v>818</v>
      </c>
      <c r="C316">
        <v>45</v>
      </c>
      <c r="D316" t="s">
        <v>29</v>
      </c>
      <c r="E316" t="s">
        <v>30</v>
      </c>
      <c r="F316" t="s">
        <v>35</v>
      </c>
      <c r="G316">
        <v>107510</v>
      </c>
      <c r="H316">
        <v>433467</v>
      </c>
      <c r="I316">
        <v>12</v>
      </c>
      <c r="J316">
        <v>23.68</v>
      </c>
      <c r="K316">
        <v>40921.370000000003</v>
      </c>
      <c r="L316" t="s">
        <v>31</v>
      </c>
      <c r="M316" t="s">
        <v>25</v>
      </c>
      <c r="N316" s="12">
        <v>45075</v>
      </c>
      <c r="Q316">
        <v>442</v>
      </c>
      <c r="R316" t="s">
        <v>46</v>
      </c>
      <c r="S316">
        <v>0</v>
      </c>
      <c r="T316" s="10" t="s">
        <v>1283</v>
      </c>
      <c r="U316" s="23">
        <f>COUNTIF(Table1[Loan_Status],"Defaulted")/COUNTA(Table1[Loan_ID])</f>
        <v>0.248</v>
      </c>
    </row>
    <row r="317" spans="1:21" x14ac:dyDescent="0.3">
      <c r="A317" t="s">
        <v>819</v>
      </c>
      <c r="B317" t="s">
        <v>820</v>
      </c>
      <c r="C317">
        <v>25</v>
      </c>
      <c r="D317" t="s">
        <v>21</v>
      </c>
      <c r="E317" t="s">
        <v>22</v>
      </c>
      <c r="F317" t="s">
        <v>23</v>
      </c>
      <c r="G317">
        <v>63996</v>
      </c>
      <c r="H317">
        <v>87500</v>
      </c>
      <c r="I317">
        <v>12</v>
      </c>
      <c r="J317">
        <v>26.45</v>
      </c>
      <c r="K317">
        <v>8378.06</v>
      </c>
      <c r="L317" t="s">
        <v>43</v>
      </c>
      <c r="M317" t="s">
        <v>44</v>
      </c>
      <c r="N317" s="12">
        <v>44986</v>
      </c>
      <c r="O317" t="s">
        <v>821</v>
      </c>
      <c r="P317">
        <v>415</v>
      </c>
      <c r="Q317">
        <v>638</v>
      </c>
      <c r="R317" t="s">
        <v>46</v>
      </c>
      <c r="S317">
        <v>0</v>
      </c>
      <c r="T317" s="10" t="s">
        <v>1271</v>
      </c>
      <c r="U317" s="23">
        <f>COUNTIF(Table1[Loan_Status],"Defaulted")/COUNTA(Table1[Loan_ID])</f>
        <v>0.248</v>
      </c>
    </row>
    <row r="318" spans="1:21" x14ac:dyDescent="0.3">
      <c r="A318" t="s">
        <v>822</v>
      </c>
      <c r="B318" t="s">
        <v>823</v>
      </c>
      <c r="C318">
        <v>51</v>
      </c>
      <c r="D318" t="s">
        <v>21</v>
      </c>
      <c r="E318" t="s">
        <v>22</v>
      </c>
      <c r="F318" t="s">
        <v>23</v>
      </c>
      <c r="G318">
        <v>122714</v>
      </c>
      <c r="H318">
        <v>16768</v>
      </c>
      <c r="I318">
        <v>6</v>
      </c>
      <c r="J318">
        <v>13.04</v>
      </c>
      <c r="K318">
        <v>2901.91</v>
      </c>
      <c r="L318" t="s">
        <v>24</v>
      </c>
      <c r="M318" t="s">
        <v>44</v>
      </c>
      <c r="N318" s="12">
        <v>44699</v>
      </c>
      <c r="O318" t="s">
        <v>824</v>
      </c>
      <c r="P318">
        <v>644</v>
      </c>
      <c r="Q318">
        <v>824</v>
      </c>
      <c r="R318" t="s">
        <v>26</v>
      </c>
      <c r="S318">
        <v>0</v>
      </c>
      <c r="T318" s="10" t="s">
        <v>1272</v>
      </c>
      <c r="U318" s="23">
        <f>COUNTIF(Table1[Loan_Status],"Defaulted")/COUNTA(Table1[Loan_ID])</f>
        <v>0.248</v>
      </c>
    </row>
    <row r="319" spans="1:21" x14ac:dyDescent="0.3">
      <c r="A319" t="s">
        <v>825</v>
      </c>
      <c r="B319" t="s">
        <v>826</v>
      </c>
      <c r="C319">
        <v>24</v>
      </c>
      <c r="D319" t="s">
        <v>29</v>
      </c>
      <c r="E319" t="s">
        <v>42</v>
      </c>
      <c r="F319" t="s">
        <v>23</v>
      </c>
      <c r="G319">
        <v>121287</v>
      </c>
      <c r="H319">
        <v>319235</v>
      </c>
      <c r="I319">
        <v>24</v>
      </c>
      <c r="J319">
        <v>27.3</v>
      </c>
      <c r="K319">
        <v>17408.66</v>
      </c>
      <c r="L319" t="s">
        <v>36</v>
      </c>
      <c r="M319" t="s">
        <v>25</v>
      </c>
      <c r="N319" s="12">
        <v>44783</v>
      </c>
      <c r="Q319">
        <v>759</v>
      </c>
      <c r="R319" t="s">
        <v>46</v>
      </c>
      <c r="S319">
        <v>0</v>
      </c>
      <c r="T319" s="10" t="s">
        <v>1275</v>
      </c>
      <c r="U319" s="23">
        <f>COUNTIF(Table1[Loan_Status],"Defaulted")/COUNTA(Table1[Loan_ID])</f>
        <v>0.248</v>
      </c>
    </row>
    <row r="320" spans="1:21" x14ac:dyDescent="0.3">
      <c r="A320" t="s">
        <v>827</v>
      </c>
      <c r="B320" t="s">
        <v>828</v>
      </c>
      <c r="C320">
        <v>51</v>
      </c>
      <c r="D320" t="s">
        <v>29</v>
      </c>
      <c r="E320" t="s">
        <v>22</v>
      </c>
      <c r="F320" t="s">
        <v>35</v>
      </c>
      <c r="G320">
        <v>52411</v>
      </c>
      <c r="H320">
        <v>421607</v>
      </c>
      <c r="I320">
        <v>24</v>
      </c>
      <c r="J320">
        <v>31.69</v>
      </c>
      <c r="K320">
        <v>23941.55</v>
      </c>
      <c r="L320" t="s">
        <v>39</v>
      </c>
      <c r="M320" t="s">
        <v>32</v>
      </c>
      <c r="N320" s="12">
        <v>44733</v>
      </c>
      <c r="Q320">
        <v>650</v>
      </c>
      <c r="R320" t="s">
        <v>26</v>
      </c>
      <c r="S320">
        <v>314369.73</v>
      </c>
      <c r="T320" s="10" t="s">
        <v>1268</v>
      </c>
      <c r="U320" s="23">
        <f>COUNTIF(Table1[Loan_Status],"Defaulted")/COUNTA(Table1[Loan_ID])</f>
        <v>0.248</v>
      </c>
    </row>
    <row r="321" spans="1:21" x14ac:dyDescent="0.3">
      <c r="A321" t="s">
        <v>829</v>
      </c>
      <c r="B321" t="s">
        <v>830</v>
      </c>
      <c r="C321">
        <v>35</v>
      </c>
      <c r="D321" t="s">
        <v>21</v>
      </c>
      <c r="E321" t="s">
        <v>68</v>
      </c>
      <c r="F321" t="s">
        <v>23</v>
      </c>
      <c r="G321">
        <v>43461</v>
      </c>
      <c r="H321">
        <v>13683</v>
      </c>
      <c r="I321">
        <v>6</v>
      </c>
      <c r="J321">
        <v>24.55</v>
      </c>
      <c r="K321">
        <v>2446.5500000000002</v>
      </c>
      <c r="L321" t="s">
        <v>24</v>
      </c>
      <c r="M321" t="s">
        <v>54</v>
      </c>
      <c r="N321" s="12">
        <v>44715</v>
      </c>
      <c r="O321" t="s">
        <v>831</v>
      </c>
      <c r="P321">
        <v>620</v>
      </c>
      <c r="Q321">
        <v>398</v>
      </c>
      <c r="R321" t="s">
        <v>26</v>
      </c>
      <c r="S321">
        <v>0</v>
      </c>
      <c r="T321" s="10" t="s">
        <v>1268</v>
      </c>
      <c r="U321" s="23">
        <f>COUNTIF(Table1[Loan_Status],"Defaulted")/COUNTA(Table1[Loan_ID])</f>
        <v>0.248</v>
      </c>
    </row>
    <row r="322" spans="1:21" x14ac:dyDescent="0.3">
      <c r="A322" t="s">
        <v>832</v>
      </c>
      <c r="B322" t="s">
        <v>833</v>
      </c>
      <c r="C322">
        <v>51</v>
      </c>
      <c r="D322" t="s">
        <v>29</v>
      </c>
      <c r="E322" t="s">
        <v>30</v>
      </c>
      <c r="F322" t="s">
        <v>23</v>
      </c>
      <c r="G322">
        <v>39429</v>
      </c>
      <c r="H322">
        <v>257833</v>
      </c>
      <c r="I322">
        <v>6</v>
      </c>
      <c r="J322">
        <v>33.65</v>
      </c>
      <c r="K322">
        <v>47286.86</v>
      </c>
      <c r="L322" t="s">
        <v>24</v>
      </c>
      <c r="M322" t="s">
        <v>25</v>
      </c>
      <c r="N322" s="12">
        <v>45256</v>
      </c>
      <c r="Q322">
        <v>741</v>
      </c>
      <c r="R322" t="s">
        <v>46</v>
      </c>
      <c r="S322">
        <v>0</v>
      </c>
      <c r="T322" s="10" t="s">
        <v>1273</v>
      </c>
      <c r="U322" s="23">
        <f>COUNTIF(Table1[Loan_Status],"Defaulted")/COUNTA(Table1[Loan_ID])</f>
        <v>0.248</v>
      </c>
    </row>
    <row r="323" spans="1:21" x14ac:dyDescent="0.3">
      <c r="A323" t="s">
        <v>834</v>
      </c>
      <c r="B323" t="s">
        <v>835</v>
      </c>
      <c r="C323">
        <v>23</v>
      </c>
      <c r="D323" t="s">
        <v>21</v>
      </c>
      <c r="E323" t="s">
        <v>22</v>
      </c>
      <c r="F323" t="s">
        <v>35</v>
      </c>
      <c r="G323">
        <v>114938</v>
      </c>
      <c r="H323">
        <v>188772</v>
      </c>
      <c r="I323">
        <v>24</v>
      </c>
      <c r="J323">
        <v>31.31</v>
      </c>
      <c r="K323">
        <v>10682.48</v>
      </c>
      <c r="L323" t="s">
        <v>24</v>
      </c>
      <c r="M323" t="s">
        <v>25</v>
      </c>
      <c r="N323" s="12">
        <v>44997</v>
      </c>
      <c r="Q323">
        <v>437</v>
      </c>
      <c r="R323" t="s">
        <v>46</v>
      </c>
      <c r="S323">
        <v>0</v>
      </c>
      <c r="T323" s="10" t="s">
        <v>1271</v>
      </c>
      <c r="U323" s="23">
        <f>COUNTIF(Table1[Loan_Status],"Defaulted")/COUNTA(Table1[Loan_ID])</f>
        <v>0.248</v>
      </c>
    </row>
    <row r="324" spans="1:21" x14ac:dyDescent="0.3">
      <c r="A324" t="s">
        <v>836</v>
      </c>
      <c r="B324" t="s">
        <v>837</v>
      </c>
      <c r="C324">
        <v>26</v>
      </c>
      <c r="D324" t="s">
        <v>21</v>
      </c>
      <c r="E324" t="s">
        <v>30</v>
      </c>
      <c r="F324" t="s">
        <v>35</v>
      </c>
      <c r="G324">
        <v>82582</v>
      </c>
      <c r="H324">
        <v>104101</v>
      </c>
      <c r="I324">
        <v>3</v>
      </c>
      <c r="J324">
        <v>29.02</v>
      </c>
      <c r="K324">
        <v>36392.04</v>
      </c>
      <c r="L324" t="s">
        <v>43</v>
      </c>
      <c r="M324" t="s">
        <v>25</v>
      </c>
      <c r="N324" s="12">
        <v>45094</v>
      </c>
      <c r="Q324">
        <v>307</v>
      </c>
      <c r="R324" t="s">
        <v>46</v>
      </c>
      <c r="S324">
        <v>0</v>
      </c>
      <c r="T324" s="10" t="s">
        <v>1276</v>
      </c>
      <c r="U324" s="23">
        <f>COUNTIF(Table1[Loan_Status],"Defaulted")/COUNTA(Table1[Loan_ID])</f>
        <v>0.248</v>
      </c>
    </row>
    <row r="325" spans="1:21" x14ac:dyDescent="0.3">
      <c r="A325" t="s">
        <v>838</v>
      </c>
      <c r="B325" t="s">
        <v>839</v>
      </c>
      <c r="C325">
        <v>41</v>
      </c>
      <c r="D325" t="s">
        <v>21</v>
      </c>
      <c r="E325" t="s">
        <v>42</v>
      </c>
      <c r="F325" t="s">
        <v>23</v>
      </c>
      <c r="G325">
        <v>55574</v>
      </c>
      <c r="H325">
        <v>228384</v>
      </c>
      <c r="I325">
        <v>24</v>
      </c>
      <c r="J325">
        <v>18.09</v>
      </c>
      <c r="K325">
        <v>11411.8</v>
      </c>
      <c r="L325" t="s">
        <v>24</v>
      </c>
      <c r="M325" t="s">
        <v>54</v>
      </c>
      <c r="N325" s="12">
        <v>45140</v>
      </c>
      <c r="O325" t="s">
        <v>841</v>
      </c>
      <c r="P325">
        <v>187</v>
      </c>
      <c r="Q325">
        <v>582</v>
      </c>
      <c r="R325" t="s">
        <v>26</v>
      </c>
      <c r="S325">
        <v>0</v>
      </c>
      <c r="T325" s="10" t="s">
        <v>1261</v>
      </c>
      <c r="U325" s="23">
        <f>COUNTIF(Table1[Loan_Status],"Defaulted")/COUNTA(Table1[Loan_ID])</f>
        <v>0.248</v>
      </c>
    </row>
    <row r="326" spans="1:21" x14ac:dyDescent="0.3">
      <c r="A326" t="s">
        <v>842</v>
      </c>
      <c r="B326" t="s">
        <v>843</v>
      </c>
      <c r="C326">
        <v>34</v>
      </c>
      <c r="D326" t="s">
        <v>21</v>
      </c>
      <c r="E326" t="s">
        <v>30</v>
      </c>
      <c r="F326" t="s">
        <v>35</v>
      </c>
      <c r="G326">
        <v>61850</v>
      </c>
      <c r="H326">
        <v>199098</v>
      </c>
      <c r="I326">
        <v>24</v>
      </c>
      <c r="J326">
        <v>25.32</v>
      </c>
      <c r="K326">
        <v>10658.16</v>
      </c>
      <c r="L326" t="s">
        <v>36</v>
      </c>
      <c r="M326" t="s">
        <v>32</v>
      </c>
      <c r="N326" s="12">
        <v>45153</v>
      </c>
      <c r="Q326">
        <v>652</v>
      </c>
      <c r="R326" t="s">
        <v>26</v>
      </c>
      <c r="S326">
        <v>127808.2</v>
      </c>
      <c r="T326" s="10" t="s">
        <v>1261</v>
      </c>
      <c r="U326" s="23">
        <f>COUNTIF(Table1[Loan_Status],"Defaulted")/COUNTA(Table1[Loan_ID])</f>
        <v>0.248</v>
      </c>
    </row>
    <row r="327" spans="1:21" x14ac:dyDescent="0.3">
      <c r="A327" t="s">
        <v>844</v>
      </c>
      <c r="B327" t="s">
        <v>845</v>
      </c>
      <c r="C327">
        <v>29</v>
      </c>
      <c r="D327" t="s">
        <v>29</v>
      </c>
      <c r="E327" t="s">
        <v>22</v>
      </c>
      <c r="F327" t="s">
        <v>35</v>
      </c>
      <c r="G327">
        <v>57413</v>
      </c>
      <c r="H327">
        <v>57574</v>
      </c>
      <c r="I327">
        <v>6</v>
      </c>
      <c r="J327">
        <v>24.2</v>
      </c>
      <c r="K327">
        <v>10284.23</v>
      </c>
      <c r="L327" t="s">
        <v>36</v>
      </c>
      <c r="M327" t="s">
        <v>25</v>
      </c>
      <c r="N327" s="12">
        <v>44726</v>
      </c>
      <c r="Q327">
        <v>698</v>
      </c>
      <c r="R327" t="s">
        <v>46</v>
      </c>
      <c r="S327">
        <v>0</v>
      </c>
      <c r="T327" s="10" t="s">
        <v>1268</v>
      </c>
      <c r="U327" s="23">
        <f>COUNTIF(Table1[Loan_Status],"Defaulted")/COUNTA(Table1[Loan_ID])</f>
        <v>0.248</v>
      </c>
    </row>
    <row r="328" spans="1:21" x14ac:dyDescent="0.3">
      <c r="A328" t="s">
        <v>846</v>
      </c>
      <c r="B328" t="s">
        <v>847</v>
      </c>
      <c r="C328">
        <v>26</v>
      </c>
      <c r="D328" t="s">
        <v>29</v>
      </c>
      <c r="E328" t="s">
        <v>68</v>
      </c>
      <c r="F328" t="s">
        <v>35</v>
      </c>
      <c r="G328">
        <v>38105</v>
      </c>
      <c r="H328">
        <v>38596</v>
      </c>
      <c r="I328">
        <v>12</v>
      </c>
      <c r="J328">
        <v>17.32</v>
      </c>
      <c r="K328">
        <v>3526</v>
      </c>
      <c r="L328" t="s">
        <v>43</v>
      </c>
      <c r="M328" t="s">
        <v>25</v>
      </c>
      <c r="N328" s="12">
        <v>44955</v>
      </c>
      <c r="Q328">
        <v>710</v>
      </c>
      <c r="R328" t="s">
        <v>46</v>
      </c>
      <c r="S328">
        <v>0</v>
      </c>
      <c r="T328" s="10" t="s">
        <v>1266</v>
      </c>
      <c r="U328" s="23">
        <f>COUNTIF(Table1[Loan_Status],"Defaulted")/COUNTA(Table1[Loan_ID])</f>
        <v>0.248</v>
      </c>
    </row>
    <row r="329" spans="1:21" x14ac:dyDescent="0.3">
      <c r="A329" t="s">
        <v>848</v>
      </c>
      <c r="B329" t="s">
        <v>849</v>
      </c>
      <c r="C329">
        <v>39</v>
      </c>
      <c r="D329" t="s">
        <v>29</v>
      </c>
      <c r="E329" t="s">
        <v>22</v>
      </c>
      <c r="F329" t="s">
        <v>35</v>
      </c>
      <c r="G329">
        <v>130073</v>
      </c>
      <c r="H329">
        <v>10615</v>
      </c>
      <c r="I329">
        <v>6</v>
      </c>
      <c r="J329">
        <v>32.409999999999997</v>
      </c>
      <c r="K329">
        <v>1940.12</v>
      </c>
      <c r="L329" t="s">
        <v>24</v>
      </c>
      <c r="M329" t="s">
        <v>32</v>
      </c>
      <c r="N329" s="12">
        <v>44761</v>
      </c>
      <c r="Q329">
        <v>334</v>
      </c>
      <c r="R329" t="s">
        <v>26</v>
      </c>
      <c r="S329">
        <v>6886.71</v>
      </c>
      <c r="T329" s="10" t="s">
        <v>1281</v>
      </c>
      <c r="U329" s="23">
        <f>COUNTIF(Table1[Loan_Status],"Defaulted")/COUNTA(Table1[Loan_ID])</f>
        <v>0.248</v>
      </c>
    </row>
    <row r="330" spans="1:21" x14ac:dyDescent="0.3">
      <c r="A330" t="s">
        <v>850</v>
      </c>
      <c r="B330" t="s">
        <v>851</v>
      </c>
      <c r="C330">
        <v>54</v>
      </c>
      <c r="D330" t="s">
        <v>29</v>
      </c>
      <c r="E330" t="s">
        <v>30</v>
      </c>
      <c r="F330" t="s">
        <v>23</v>
      </c>
      <c r="G330">
        <v>24453</v>
      </c>
      <c r="H330">
        <v>193607</v>
      </c>
      <c r="I330">
        <v>6</v>
      </c>
      <c r="J330">
        <v>27.72</v>
      </c>
      <c r="K330">
        <v>34926.32</v>
      </c>
      <c r="L330" t="s">
        <v>39</v>
      </c>
      <c r="M330" t="s">
        <v>25</v>
      </c>
      <c r="N330" s="12">
        <v>44844</v>
      </c>
      <c r="Q330">
        <v>709</v>
      </c>
      <c r="R330" t="s">
        <v>46</v>
      </c>
      <c r="S330">
        <v>0</v>
      </c>
      <c r="T330" s="10" t="s">
        <v>1267</v>
      </c>
      <c r="U330" s="23">
        <f>COUNTIF(Table1[Loan_Status],"Defaulted")/COUNTA(Table1[Loan_ID])</f>
        <v>0.248</v>
      </c>
    </row>
    <row r="331" spans="1:21" x14ac:dyDescent="0.3">
      <c r="A331" t="s">
        <v>852</v>
      </c>
      <c r="B331" t="s">
        <v>853</v>
      </c>
      <c r="C331">
        <v>46</v>
      </c>
      <c r="D331" t="s">
        <v>29</v>
      </c>
      <c r="E331" t="s">
        <v>30</v>
      </c>
      <c r="F331" t="s">
        <v>23</v>
      </c>
      <c r="G331">
        <v>32987</v>
      </c>
      <c r="H331">
        <v>486913</v>
      </c>
      <c r="I331">
        <v>3</v>
      </c>
      <c r="J331">
        <v>25.19</v>
      </c>
      <c r="K331">
        <v>169165.59</v>
      </c>
      <c r="L331" t="s">
        <v>24</v>
      </c>
      <c r="M331" t="s">
        <v>32</v>
      </c>
      <c r="N331" s="12">
        <v>44917</v>
      </c>
      <c r="Q331">
        <v>583</v>
      </c>
      <c r="R331" t="s">
        <v>26</v>
      </c>
      <c r="S331">
        <v>125821.66</v>
      </c>
      <c r="T331" s="10" t="s">
        <v>1280</v>
      </c>
      <c r="U331" s="23">
        <f>COUNTIF(Table1[Loan_Status],"Defaulted")/COUNTA(Table1[Loan_ID])</f>
        <v>0.248</v>
      </c>
    </row>
    <row r="332" spans="1:21" x14ac:dyDescent="0.3">
      <c r="A332" t="s">
        <v>854</v>
      </c>
      <c r="B332" t="s">
        <v>855</v>
      </c>
      <c r="C332">
        <v>50</v>
      </c>
      <c r="D332" t="s">
        <v>21</v>
      </c>
      <c r="E332" t="s">
        <v>30</v>
      </c>
      <c r="F332" t="s">
        <v>23</v>
      </c>
      <c r="G332">
        <v>83447</v>
      </c>
      <c r="H332">
        <v>96768</v>
      </c>
      <c r="I332">
        <v>18</v>
      </c>
      <c r="J332">
        <v>24.15</v>
      </c>
      <c r="K332">
        <v>6461.73</v>
      </c>
      <c r="L332" t="s">
        <v>24</v>
      </c>
      <c r="M332" t="s">
        <v>25</v>
      </c>
      <c r="N332" s="12">
        <v>45077</v>
      </c>
      <c r="Q332">
        <v>601</v>
      </c>
      <c r="R332" t="s">
        <v>46</v>
      </c>
      <c r="S332">
        <v>0</v>
      </c>
      <c r="T332" s="10" t="s">
        <v>1283</v>
      </c>
      <c r="U332" s="23">
        <f>COUNTIF(Table1[Loan_Status],"Defaulted")/COUNTA(Table1[Loan_ID])</f>
        <v>0.248</v>
      </c>
    </row>
    <row r="333" spans="1:21" x14ac:dyDescent="0.3">
      <c r="A333" t="s">
        <v>856</v>
      </c>
      <c r="B333" t="s">
        <v>857</v>
      </c>
      <c r="C333">
        <v>53</v>
      </c>
      <c r="D333" t="s">
        <v>21</v>
      </c>
      <c r="E333" t="s">
        <v>30</v>
      </c>
      <c r="F333" t="s">
        <v>35</v>
      </c>
      <c r="G333">
        <v>131069</v>
      </c>
      <c r="H333">
        <v>202698</v>
      </c>
      <c r="I333">
        <v>24</v>
      </c>
      <c r="J333">
        <v>23.61</v>
      </c>
      <c r="K333">
        <v>10677.45</v>
      </c>
      <c r="L333" t="s">
        <v>39</v>
      </c>
      <c r="M333" t="s">
        <v>32</v>
      </c>
      <c r="N333" s="12">
        <v>45031</v>
      </c>
      <c r="Q333">
        <v>771</v>
      </c>
      <c r="R333" t="s">
        <v>26</v>
      </c>
      <c r="S333">
        <v>147476.31</v>
      </c>
      <c r="T333" s="10" t="s">
        <v>1278</v>
      </c>
      <c r="U333" s="23">
        <f>COUNTIF(Table1[Loan_Status],"Defaulted")/COUNTA(Table1[Loan_ID])</f>
        <v>0.248</v>
      </c>
    </row>
    <row r="334" spans="1:21" x14ac:dyDescent="0.3">
      <c r="A334" t="s">
        <v>858</v>
      </c>
      <c r="B334" t="s">
        <v>859</v>
      </c>
      <c r="C334">
        <v>51</v>
      </c>
      <c r="D334" t="s">
        <v>29</v>
      </c>
      <c r="E334" t="s">
        <v>42</v>
      </c>
      <c r="F334" t="s">
        <v>23</v>
      </c>
      <c r="G334">
        <v>115315</v>
      </c>
      <c r="H334">
        <v>337221</v>
      </c>
      <c r="I334">
        <v>6</v>
      </c>
      <c r="J334">
        <v>28.25</v>
      </c>
      <c r="K334">
        <v>60924.2</v>
      </c>
      <c r="L334" t="s">
        <v>39</v>
      </c>
      <c r="M334" t="s">
        <v>32</v>
      </c>
      <c r="N334" s="12">
        <v>44984</v>
      </c>
      <c r="Q334">
        <v>661</v>
      </c>
      <c r="R334" t="s">
        <v>26</v>
      </c>
      <c r="S334">
        <v>155645.35</v>
      </c>
      <c r="T334" s="10" t="s">
        <v>1277</v>
      </c>
      <c r="U334" s="23">
        <f>COUNTIF(Table1[Loan_Status],"Defaulted")/COUNTA(Table1[Loan_ID])</f>
        <v>0.248</v>
      </c>
    </row>
    <row r="335" spans="1:21" x14ac:dyDescent="0.3">
      <c r="A335" t="s">
        <v>860</v>
      </c>
      <c r="B335" t="s">
        <v>861</v>
      </c>
      <c r="C335">
        <v>37</v>
      </c>
      <c r="D335" t="s">
        <v>29</v>
      </c>
      <c r="E335" t="s">
        <v>42</v>
      </c>
      <c r="F335" t="s">
        <v>23</v>
      </c>
      <c r="G335">
        <v>119577</v>
      </c>
      <c r="H335">
        <v>358211</v>
      </c>
      <c r="I335">
        <v>12</v>
      </c>
      <c r="J335">
        <v>13.82</v>
      </c>
      <c r="K335">
        <v>32132.400000000001</v>
      </c>
      <c r="L335" t="s">
        <v>39</v>
      </c>
      <c r="M335" t="s">
        <v>54</v>
      </c>
      <c r="N335" s="12">
        <v>44883</v>
      </c>
      <c r="O335" t="s">
        <v>862</v>
      </c>
      <c r="P335">
        <v>362</v>
      </c>
      <c r="Q335">
        <v>523</v>
      </c>
      <c r="R335" t="s">
        <v>26</v>
      </c>
      <c r="S335">
        <v>0</v>
      </c>
      <c r="T335" s="10" t="s">
        <v>1269</v>
      </c>
      <c r="U335" s="23">
        <f>COUNTIF(Table1[Loan_Status],"Defaulted")/COUNTA(Table1[Loan_ID])</f>
        <v>0.248</v>
      </c>
    </row>
    <row r="336" spans="1:21" x14ac:dyDescent="0.3">
      <c r="A336" t="s">
        <v>863</v>
      </c>
      <c r="B336" t="s">
        <v>864</v>
      </c>
      <c r="C336">
        <v>32</v>
      </c>
      <c r="D336" t="s">
        <v>29</v>
      </c>
      <c r="E336" t="s">
        <v>68</v>
      </c>
      <c r="F336" t="s">
        <v>23</v>
      </c>
      <c r="G336">
        <v>76567</v>
      </c>
      <c r="H336">
        <v>390576</v>
      </c>
      <c r="I336">
        <v>6</v>
      </c>
      <c r="J336">
        <v>32.950000000000003</v>
      </c>
      <c r="K336">
        <v>71493.149999999994</v>
      </c>
      <c r="L336" t="s">
        <v>39</v>
      </c>
      <c r="M336" t="s">
        <v>44</v>
      </c>
      <c r="N336" s="12">
        <v>44769</v>
      </c>
      <c r="O336" t="s">
        <v>865</v>
      </c>
      <c r="P336">
        <v>255</v>
      </c>
      <c r="Q336">
        <v>664</v>
      </c>
      <c r="R336" t="s">
        <v>46</v>
      </c>
      <c r="S336">
        <v>0</v>
      </c>
      <c r="T336" s="10" t="s">
        <v>1281</v>
      </c>
      <c r="U336" s="23">
        <f>COUNTIF(Table1[Loan_Status],"Defaulted")/COUNTA(Table1[Loan_ID])</f>
        <v>0.248</v>
      </c>
    </row>
    <row r="337" spans="1:21" x14ac:dyDescent="0.3">
      <c r="A337" t="s">
        <v>866</v>
      </c>
      <c r="B337" t="s">
        <v>867</v>
      </c>
      <c r="C337">
        <v>28</v>
      </c>
      <c r="D337" t="s">
        <v>29</v>
      </c>
      <c r="E337" t="s">
        <v>68</v>
      </c>
      <c r="F337" t="s">
        <v>23</v>
      </c>
      <c r="G337">
        <v>26079</v>
      </c>
      <c r="H337">
        <v>449601</v>
      </c>
      <c r="I337">
        <v>18</v>
      </c>
      <c r="J337">
        <v>20.91</v>
      </c>
      <c r="K337">
        <v>29314.65</v>
      </c>
      <c r="L337" t="s">
        <v>36</v>
      </c>
      <c r="M337" t="s">
        <v>54</v>
      </c>
      <c r="N337" s="12">
        <v>45150</v>
      </c>
      <c r="O337" t="s">
        <v>868</v>
      </c>
      <c r="P337">
        <v>140</v>
      </c>
      <c r="Q337">
        <v>802</v>
      </c>
      <c r="R337" t="s">
        <v>26</v>
      </c>
      <c r="S337">
        <v>0</v>
      </c>
      <c r="T337" s="10" t="s">
        <v>1261</v>
      </c>
      <c r="U337" s="23">
        <f>COUNTIF(Table1[Loan_Status],"Defaulted")/COUNTA(Table1[Loan_ID])</f>
        <v>0.248</v>
      </c>
    </row>
    <row r="338" spans="1:21" x14ac:dyDescent="0.3">
      <c r="A338" t="s">
        <v>869</v>
      </c>
      <c r="B338" t="s">
        <v>870</v>
      </c>
      <c r="C338">
        <v>53</v>
      </c>
      <c r="D338" t="s">
        <v>21</v>
      </c>
      <c r="E338" t="s">
        <v>68</v>
      </c>
      <c r="F338" t="s">
        <v>23</v>
      </c>
      <c r="G338">
        <v>48618</v>
      </c>
      <c r="H338">
        <v>33389</v>
      </c>
      <c r="I338">
        <v>24</v>
      </c>
      <c r="J338">
        <v>31.18</v>
      </c>
      <c r="K338">
        <v>1887.21</v>
      </c>
      <c r="L338" t="s">
        <v>31</v>
      </c>
      <c r="M338" t="s">
        <v>25</v>
      </c>
      <c r="N338" s="12">
        <v>45076</v>
      </c>
      <c r="Q338">
        <v>655</v>
      </c>
      <c r="R338" t="s">
        <v>46</v>
      </c>
      <c r="S338">
        <v>0</v>
      </c>
      <c r="T338" s="10" t="s">
        <v>1283</v>
      </c>
      <c r="U338" s="23">
        <f>COUNTIF(Table1[Loan_Status],"Defaulted")/COUNTA(Table1[Loan_ID])</f>
        <v>0.248</v>
      </c>
    </row>
    <row r="339" spans="1:21" x14ac:dyDescent="0.3">
      <c r="A339" t="s">
        <v>871</v>
      </c>
      <c r="B339" t="s">
        <v>872</v>
      </c>
      <c r="C339">
        <v>50</v>
      </c>
      <c r="D339" t="s">
        <v>29</v>
      </c>
      <c r="E339" t="s">
        <v>30</v>
      </c>
      <c r="F339" t="s">
        <v>35</v>
      </c>
      <c r="G339">
        <v>97746</v>
      </c>
      <c r="H339">
        <v>366344</v>
      </c>
      <c r="I339">
        <v>3</v>
      </c>
      <c r="J339">
        <v>12.28</v>
      </c>
      <c r="K339">
        <v>124622.43</v>
      </c>
      <c r="L339" t="s">
        <v>39</v>
      </c>
      <c r="M339" t="s">
        <v>54</v>
      </c>
      <c r="N339" s="12">
        <v>45156</v>
      </c>
      <c r="O339" t="s">
        <v>874</v>
      </c>
      <c r="P339">
        <v>51</v>
      </c>
      <c r="Q339">
        <v>633</v>
      </c>
      <c r="R339" t="s">
        <v>26</v>
      </c>
      <c r="S339">
        <v>0</v>
      </c>
      <c r="T339" s="10" t="s">
        <v>1261</v>
      </c>
      <c r="U339" s="23">
        <f>COUNTIF(Table1[Loan_Status],"Defaulted")/COUNTA(Table1[Loan_ID])</f>
        <v>0.248</v>
      </c>
    </row>
    <row r="340" spans="1:21" x14ac:dyDescent="0.3">
      <c r="A340" t="s">
        <v>875</v>
      </c>
      <c r="B340" t="s">
        <v>876</v>
      </c>
      <c r="C340">
        <v>37</v>
      </c>
      <c r="D340" t="s">
        <v>29</v>
      </c>
      <c r="E340" t="s">
        <v>30</v>
      </c>
      <c r="F340" t="s">
        <v>35</v>
      </c>
      <c r="G340">
        <v>77164</v>
      </c>
      <c r="H340">
        <v>146247</v>
      </c>
      <c r="I340">
        <v>18</v>
      </c>
      <c r="J340">
        <v>35</v>
      </c>
      <c r="K340">
        <v>10558.65</v>
      </c>
      <c r="L340" t="s">
        <v>36</v>
      </c>
      <c r="M340" t="s">
        <v>32</v>
      </c>
      <c r="N340" s="12">
        <v>44750</v>
      </c>
      <c r="Q340">
        <v>810</v>
      </c>
      <c r="R340" t="s">
        <v>26</v>
      </c>
      <c r="S340">
        <v>58024.959999999999</v>
      </c>
      <c r="T340" s="10" t="s">
        <v>1281</v>
      </c>
      <c r="U340" s="23">
        <f>COUNTIF(Table1[Loan_Status],"Defaulted")/COUNTA(Table1[Loan_ID])</f>
        <v>0.248</v>
      </c>
    </row>
    <row r="341" spans="1:21" x14ac:dyDescent="0.3">
      <c r="A341" t="s">
        <v>877</v>
      </c>
      <c r="B341" t="s">
        <v>878</v>
      </c>
      <c r="C341">
        <v>44</v>
      </c>
      <c r="D341" t="s">
        <v>21</v>
      </c>
      <c r="E341" t="s">
        <v>68</v>
      </c>
      <c r="F341" t="s">
        <v>35</v>
      </c>
      <c r="G341">
        <v>133155</v>
      </c>
      <c r="H341">
        <v>99313</v>
      </c>
      <c r="I341">
        <v>24</v>
      </c>
      <c r="J341">
        <v>15.15</v>
      </c>
      <c r="K341">
        <v>4822.4399999999996</v>
      </c>
      <c r="L341" t="s">
        <v>24</v>
      </c>
      <c r="M341" t="s">
        <v>44</v>
      </c>
      <c r="N341" s="12">
        <v>44664</v>
      </c>
      <c r="O341" t="s">
        <v>879</v>
      </c>
      <c r="P341">
        <v>738</v>
      </c>
      <c r="Q341">
        <v>576</v>
      </c>
      <c r="R341" t="s">
        <v>46</v>
      </c>
      <c r="S341">
        <v>0</v>
      </c>
      <c r="T341" s="10" t="s">
        <v>1274</v>
      </c>
      <c r="U341" s="23">
        <f>COUNTIF(Table1[Loan_Status],"Defaulted")/COUNTA(Table1[Loan_ID])</f>
        <v>0.248</v>
      </c>
    </row>
    <row r="342" spans="1:21" x14ac:dyDescent="0.3">
      <c r="A342" t="s">
        <v>880</v>
      </c>
      <c r="B342" t="s">
        <v>881</v>
      </c>
      <c r="C342">
        <v>45</v>
      </c>
      <c r="D342" t="s">
        <v>29</v>
      </c>
      <c r="E342" t="s">
        <v>22</v>
      </c>
      <c r="F342" t="s">
        <v>23</v>
      </c>
      <c r="G342">
        <v>138990</v>
      </c>
      <c r="H342">
        <v>427402</v>
      </c>
      <c r="I342">
        <v>3</v>
      </c>
      <c r="J342">
        <v>16.239999999999998</v>
      </c>
      <c r="K342">
        <v>146340.73000000001</v>
      </c>
      <c r="L342" t="s">
        <v>31</v>
      </c>
      <c r="M342" t="s">
        <v>44</v>
      </c>
      <c r="N342" s="12">
        <v>45207</v>
      </c>
      <c r="O342" t="s">
        <v>707</v>
      </c>
      <c r="P342">
        <v>264</v>
      </c>
      <c r="Q342">
        <v>846</v>
      </c>
      <c r="R342" t="s">
        <v>46</v>
      </c>
      <c r="S342">
        <v>0</v>
      </c>
      <c r="T342" s="10" t="s">
        <v>1279</v>
      </c>
      <c r="U342" s="23">
        <f>COUNTIF(Table1[Loan_Status],"Defaulted")/COUNTA(Table1[Loan_ID])</f>
        <v>0.248</v>
      </c>
    </row>
    <row r="343" spans="1:21" x14ac:dyDescent="0.3">
      <c r="A343" t="s">
        <v>882</v>
      </c>
      <c r="B343" t="s">
        <v>883</v>
      </c>
      <c r="C343">
        <v>40</v>
      </c>
      <c r="D343" t="s">
        <v>21</v>
      </c>
      <c r="E343" t="s">
        <v>30</v>
      </c>
      <c r="F343" t="s">
        <v>23</v>
      </c>
      <c r="G343">
        <v>119438</v>
      </c>
      <c r="H343">
        <v>56891</v>
      </c>
      <c r="I343">
        <v>6</v>
      </c>
      <c r="J343">
        <v>13.44</v>
      </c>
      <c r="K343">
        <v>9856.9699999999993</v>
      </c>
      <c r="L343" t="s">
        <v>36</v>
      </c>
      <c r="M343" t="s">
        <v>54</v>
      </c>
      <c r="N343" s="12">
        <v>45206</v>
      </c>
      <c r="O343" t="s">
        <v>226</v>
      </c>
      <c r="P343">
        <v>49</v>
      </c>
      <c r="Q343">
        <v>760</v>
      </c>
      <c r="R343" t="s">
        <v>26</v>
      </c>
      <c r="S343">
        <v>0</v>
      </c>
      <c r="T343" s="10" t="s">
        <v>1279</v>
      </c>
      <c r="U343" s="23">
        <f>COUNTIF(Table1[Loan_Status],"Defaulted")/COUNTA(Table1[Loan_ID])</f>
        <v>0.248</v>
      </c>
    </row>
    <row r="344" spans="1:21" x14ac:dyDescent="0.3">
      <c r="A344" t="s">
        <v>884</v>
      </c>
      <c r="B344" t="s">
        <v>885</v>
      </c>
      <c r="C344">
        <v>37</v>
      </c>
      <c r="D344" t="s">
        <v>21</v>
      </c>
      <c r="E344" t="s">
        <v>42</v>
      </c>
      <c r="F344" t="s">
        <v>35</v>
      </c>
      <c r="G344">
        <v>105214</v>
      </c>
      <c r="H344">
        <v>15399</v>
      </c>
      <c r="I344">
        <v>18</v>
      </c>
      <c r="J344">
        <v>14.91</v>
      </c>
      <c r="K344">
        <v>960.01</v>
      </c>
      <c r="L344" t="s">
        <v>24</v>
      </c>
      <c r="M344" t="s">
        <v>44</v>
      </c>
      <c r="N344" s="12">
        <v>45152</v>
      </c>
      <c r="O344" t="s">
        <v>886</v>
      </c>
      <c r="P344">
        <v>294</v>
      </c>
      <c r="Q344">
        <v>478</v>
      </c>
      <c r="R344" t="s">
        <v>46</v>
      </c>
      <c r="S344">
        <v>0</v>
      </c>
      <c r="T344" s="10" t="s">
        <v>1261</v>
      </c>
      <c r="U344" s="23">
        <f>COUNTIF(Table1[Loan_Status],"Defaulted")/COUNTA(Table1[Loan_ID])</f>
        <v>0.248</v>
      </c>
    </row>
    <row r="345" spans="1:21" x14ac:dyDescent="0.3">
      <c r="A345" t="s">
        <v>887</v>
      </c>
      <c r="B345" t="s">
        <v>888</v>
      </c>
      <c r="C345">
        <v>43</v>
      </c>
      <c r="D345" t="s">
        <v>21</v>
      </c>
      <c r="E345" t="s">
        <v>30</v>
      </c>
      <c r="F345" t="s">
        <v>35</v>
      </c>
      <c r="G345">
        <v>132160</v>
      </c>
      <c r="H345">
        <v>471423</v>
      </c>
      <c r="I345">
        <v>3</v>
      </c>
      <c r="J345">
        <v>21.15</v>
      </c>
      <c r="K345">
        <v>162712.48000000001</v>
      </c>
      <c r="L345" t="s">
        <v>36</v>
      </c>
      <c r="M345" t="s">
        <v>54</v>
      </c>
      <c r="N345" s="12">
        <v>45208</v>
      </c>
      <c r="O345" t="s">
        <v>621</v>
      </c>
      <c r="P345">
        <v>74</v>
      </c>
      <c r="Q345">
        <v>471</v>
      </c>
      <c r="R345" t="s">
        <v>26</v>
      </c>
      <c r="S345">
        <v>0</v>
      </c>
      <c r="T345" s="10" t="s">
        <v>1279</v>
      </c>
      <c r="U345" s="23">
        <f>COUNTIF(Table1[Loan_Status],"Defaulted")/COUNTA(Table1[Loan_ID])</f>
        <v>0.248</v>
      </c>
    </row>
    <row r="346" spans="1:21" x14ac:dyDescent="0.3">
      <c r="A346" t="s">
        <v>889</v>
      </c>
      <c r="B346" t="s">
        <v>890</v>
      </c>
      <c r="C346">
        <v>47</v>
      </c>
      <c r="D346" t="s">
        <v>21</v>
      </c>
      <c r="E346" t="s">
        <v>49</v>
      </c>
      <c r="F346" t="s">
        <v>23</v>
      </c>
      <c r="G346">
        <v>57467</v>
      </c>
      <c r="H346">
        <v>185158</v>
      </c>
      <c r="I346">
        <v>6</v>
      </c>
      <c r="J346">
        <v>19.52</v>
      </c>
      <c r="K346">
        <v>32640.23</v>
      </c>
      <c r="L346" t="s">
        <v>36</v>
      </c>
      <c r="M346" t="s">
        <v>32</v>
      </c>
      <c r="N346" s="12">
        <v>45181</v>
      </c>
      <c r="Q346">
        <v>704</v>
      </c>
      <c r="R346" t="s">
        <v>26</v>
      </c>
      <c r="S346">
        <v>53672.43</v>
      </c>
      <c r="T346" s="10" t="s">
        <v>1284</v>
      </c>
      <c r="U346" s="23">
        <f>COUNTIF(Table1[Loan_Status],"Defaulted")/COUNTA(Table1[Loan_ID])</f>
        <v>0.248</v>
      </c>
    </row>
    <row r="347" spans="1:21" x14ac:dyDescent="0.3">
      <c r="A347" t="s">
        <v>891</v>
      </c>
      <c r="B347" t="s">
        <v>892</v>
      </c>
      <c r="C347">
        <v>44</v>
      </c>
      <c r="D347" t="s">
        <v>21</v>
      </c>
      <c r="E347" t="s">
        <v>68</v>
      </c>
      <c r="F347" t="s">
        <v>23</v>
      </c>
      <c r="G347">
        <v>63204</v>
      </c>
      <c r="H347">
        <v>452853</v>
      </c>
      <c r="I347">
        <v>3</v>
      </c>
      <c r="J347">
        <v>15</v>
      </c>
      <c r="K347">
        <v>154740.4</v>
      </c>
      <c r="L347" t="s">
        <v>39</v>
      </c>
      <c r="M347" t="s">
        <v>32</v>
      </c>
      <c r="N347" s="12">
        <v>45279</v>
      </c>
      <c r="Q347">
        <v>381</v>
      </c>
      <c r="R347" t="s">
        <v>26</v>
      </c>
      <c r="S347">
        <v>112035.85</v>
      </c>
      <c r="T347" s="10" t="s">
        <v>1282</v>
      </c>
      <c r="U347" s="23">
        <f>COUNTIF(Table1[Loan_Status],"Defaulted")/COUNTA(Table1[Loan_ID])</f>
        <v>0.248</v>
      </c>
    </row>
    <row r="348" spans="1:21" x14ac:dyDescent="0.3">
      <c r="A348" t="s">
        <v>894</v>
      </c>
      <c r="B348" t="s">
        <v>895</v>
      </c>
      <c r="C348">
        <v>27</v>
      </c>
      <c r="D348" t="s">
        <v>29</v>
      </c>
      <c r="E348" t="s">
        <v>49</v>
      </c>
      <c r="F348" t="s">
        <v>35</v>
      </c>
      <c r="G348">
        <v>29110</v>
      </c>
      <c r="H348">
        <v>18822</v>
      </c>
      <c r="I348">
        <v>18</v>
      </c>
      <c r="J348">
        <v>24.58</v>
      </c>
      <c r="K348">
        <v>1260.81</v>
      </c>
      <c r="L348" t="s">
        <v>43</v>
      </c>
      <c r="M348" t="s">
        <v>25</v>
      </c>
      <c r="N348" s="12">
        <v>44830</v>
      </c>
      <c r="Q348">
        <v>459</v>
      </c>
      <c r="R348" t="s">
        <v>26</v>
      </c>
      <c r="S348">
        <v>0</v>
      </c>
      <c r="T348" s="10" t="s">
        <v>1270</v>
      </c>
      <c r="U348" s="23">
        <f>COUNTIF(Table1[Loan_Status],"Defaulted")/COUNTA(Table1[Loan_ID])</f>
        <v>0.248</v>
      </c>
    </row>
    <row r="349" spans="1:21" x14ac:dyDescent="0.3">
      <c r="A349" t="s">
        <v>896</v>
      </c>
      <c r="B349" t="s">
        <v>897</v>
      </c>
      <c r="C349">
        <v>40</v>
      </c>
      <c r="D349" t="s">
        <v>29</v>
      </c>
      <c r="E349" t="s">
        <v>22</v>
      </c>
      <c r="F349" t="s">
        <v>35</v>
      </c>
      <c r="G349">
        <v>131171</v>
      </c>
      <c r="H349">
        <v>333456</v>
      </c>
      <c r="I349">
        <v>6</v>
      </c>
      <c r="J349">
        <v>15.15</v>
      </c>
      <c r="K349">
        <v>58057.440000000002</v>
      </c>
      <c r="L349" t="s">
        <v>39</v>
      </c>
      <c r="M349" t="s">
        <v>25</v>
      </c>
      <c r="N349" s="12">
        <v>44597</v>
      </c>
      <c r="Q349">
        <v>665</v>
      </c>
      <c r="R349" t="s">
        <v>46</v>
      </c>
      <c r="S349">
        <v>0</v>
      </c>
      <c r="T349" s="10" t="s">
        <v>1263</v>
      </c>
      <c r="U349" s="23">
        <f>COUNTIF(Table1[Loan_Status],"Defaulted")/COUNTA(Table1[Loan_ID])</f>
        <v>0.248</v>
      </c>
    </row>
    <row r="350" spans="1:21" x14ac:dyDescent="0.3">
      <c r="A350" t="s">
        <v>898</v>
      </c>
      <c r="B350" t="s">
        <v>899</v>
      </c>
      <c r="C350">
        <v>51</v>
      </c>
      <c r="D350" t="s">
        <v>21</v>
      </c>
      <c r="E350" t="s">
        <v>30</v>
      </c>
      <c r="F350" t="s">
        <v>35</v>
      </c>
      <c r="G350">
        <v>131613</v>
      </c>
      <c r="H350">
        <v>75839</v>
      </c>
      <c r="I350">
        <v>24</v>
      </c>
      <c r="J350">
        <v>16.25</v>
      </c>
      <c r="K350">
        <v>3722.38</v>
      </c>
      <c r="L350" t="s">
        <v>24</v>
      </c>
      <c r="M350" t="s">
        <v>54</v>
      </c>
      <c r="N350" s="12">
        <v>45208</v>
      </c>
      <c r="O350" t="s">
        <v>900</v>
      </c>
      <c r="P350">
        <v>222</v>
      </c>
      <c r="Q350">
        <v>836</v>
      </c>
      <c r="R350" t="s">
        <v>26</v>
      </c>
      <c r="S350">
        <v>0</v>
      </c>
      <c r="T350" s="10" t="s">
        <v>1279</v>
      </c>
      <c r="U350" s="23">
        <f>COUNTIF(Table1[Loan_Status],"Defaulted")/COUNTA(Table1[Loan_ID])</f>
        <v>0.248</v>
      </c>
    </row>
    <row r="351" spans="1:21" x14ac:dyDescent="0.3">
      <c r="A351" t="s">
        <v>901</v>
      </c>
      <c r="B351" t="s">
        <v>902</v>
      </c>
      <c r="C351">
        <v>40</v>
      </c>
      <c r="D351" t="s">
        <v>21</v>
      </c>
      <c r="E351" t="s">
        <v>68</v>
      </c>
      <c r="F351" t="s">
        <v>23</v>
      </c>
      <c r="G351">
        <v>38476</v>
      </c>
      <c r="H351">
        <v>236662</v>
      </c>
      <c r="I351">
        <v>12</v>
      </c>
      <c r="J351">
        <v>20.78</v>
      </c>
      <c r="K351">
        <v>22011.51</v>
      </c>
      <c r="L351" t="s">
        <v>36</v>
      </c>
      <c r="M351" t="s">
        <v>44</v>
      </c>
      <c r="N351" s="12">
        <v>44872</v>
      </c>
      <c r="O351" t="s">
        <v>903</v>
      </c>
      <c r="P351">
        <v>10</v>
      </c>
      <c r="Q351">
        <v>300</v>
      </c>
      <c r="R351" t="s">
        <v>46</v>
      </c>
      <c r="S351">
        <v>0</v>
      </c>
      <c r="T351" s="10" t="s">
        <v>1269</v>
      </c>
      <c r="U351" s="23">
        <f>COUNTIF(Table1[Loan_Status],"Defaulted")/COUNTA(Table1[Loan_ID])</f>
        <v>0.248</v>
      </c>
    </row>
    <row r="352" spans="1:21" x14ac:dyDescent="0.3">
      <c r="A352" t="s">
        <v>904</v>
      </c>
      <c r="B352" t="s">
        <v>905</v>
      </c>
      <c r="C352">
        <v>43</v>
      </c>
      <c r="D352" t="s">
        <v>21</v>
      </c>
      <c r="E352" t="s">
        <v>68</v>
      </c>
      <c r="F352" t="s">
        <v>23</v>
      </c>
      <c r="G352">
        <v>143956</v>
      </c>
      <c r="H352">
        <v>401085</v>
      </c>
      <c r="I352">
        <v>18</v>
      </c>
      <c r="J352">
        <v>19.190000000000001</v>
      </c>
      <c r="K352">
        <v>25819.64</v>
      </c>
      <c r="L352" t="s">
        <v>31</v>
      </c>
      <c r="M352" t="s">
        <v>32</v>
      </c>
      <c r="N352" s="12">
        <v>45173</v>
      </c>
      <c r="Q352">
        <v>536</v>
      </c>
      <c r="R352" t="s">
        <v>26</v>
      </c>
      <c r="S352">
        <v>263808.51</v>
      </c>
      <c r="T352" s="10" t="s">
        <v>1284</v>
      </c>
      <c r="U352" s="23">
        <f>COUNTIF(Table1[Loan_Status],"Defaulted")/COUNTA(Table1[Loan_ID])</f>
        <v>0.248</v>
      </c>
    </row>
    <row r="353" spans="1:21" x14ac:dyDescent="0.3">
      <c r="A353" t="s">
        <v>906</v>
      </c>
      <c r="B353" t="s">
        <v>907</v>
      </c>
      <c r="C353">
        <v>44</v>
      </c>
      <c r="D353" t="s">
        <v>29</v>
      </c>
      <c r="E353" t="s">
        <v>68</v>
      </c>
      <c r="F353" t="s">
        <v>35</v>
      </c>
      <c r="G353">
        <v>118481</v>
      </c>
      <c r="H353">
        <v>136017</v>
      </c>
      <c r="I353">
        <v>6</v>
      </c>
      <c r="J353">
        <v>29.16</v>
      </c>
      <c r="K353">
        <v>24636.1</v>
      </c>
      <c r="L353" t="s">
        <v>31</v>
      </c>
      <c r="M353" t="s">
        <v>54</v>
      </c>
      <c r="N353" s="12">
        <v>44787</v>
      </c>
      <c r="O353" t="s">
        <v>908</v>
      </c>
      <c r="P353">
        <v>269</v>
      </c>
      <c r="Q353">
        <v>381</v>
      </c>
      <c r="R353" t="s">
        <v>26</v>
      </c>
      <c r="S353">
        <v>0</v>
      </c>
      <c r="T353" s="10" t="s">
        <v>1275</v>
      </c>
      <c r="U353" s="23">
        <f>COUNTIF(Table1[Loan_Status],"Defaulted")/COUNTA(Table1[Loan_ID])</f>
        <v>0.248</v>
      </c>
    </row>
    <row r="354" spans="1:21" x14ac:dyDescent="0.3">
      <c r="A354" t="s">
        <v>909</v>
      </c>
      <c r="B354" t="s">
        <v>910</v>
      </c>
      <c r="C354">
        <v>36</v>
      </c>
      <c r="D354" t="s">
        <v>21</v>
      </c>
      <c r="E354" t="s">
        <v>42</v>
      </c>
      <c r="F354" t="s">
        <v>35</v>
      </c>
      <c r="G354">
        <v>123240</v>
      </c>
      <c r="H354">
        <v>103566</v>
      </c>
      <c r="I354">
        <v>3</v>
      </c>
      <c r="J354">
        <v>16.38</v>
      </c>
      <c r="K354">
        <v>35468.71</v>
      </c>
      <c r="L354" t="s">
        <v>36</v>
      </c>
      <c r="M354" t="s">
        <v>25</v>
      </c>
      <c r="N354" s="12">
        <v>45214</v>
      </c>
      <c r="Q354">
        <v>766</v>
      </c>
      <c r="R354" t="s">
        <v>46</v>
      </c>
      <c r="S354">
        <v>0</v>
      </c>
      <c r="T354" s="10" t="s">
        <v>1279</v>
      </c>
      <c r="U354" s="23">
        <f>COUNTIF(Table1[Loan_Status],"Defaulted")/COUNTA(Table1[Loan_ID])</f>
        <v>0.248</v>
      </c>
    </row>
    <row r="355" spans="1:21" x14ac:dyDescent="0.3">
      <c r="A355" t="s">
        <v>911</v>
      </c>
      <c r="B355" t="s">
        <v>912</v>
      </c>
      <c r="C355">
        <v>52</v>
      </c>
      <c r="D355" t="s">
        <v>29</v>
      </c>
      <c r="E355" t="s">
        <v>42</v>
      </c>
      <c r="F355" t="s">
        <v>23</v>
      </c>
      <c r="G355">
        <v>54885</v>
      </c>
      <c r="H355">
        <v>31021</v>
      </c>
      <c r="I355">
        <v>24</v>
      </c>
      <c r="J355">
        <v>12.53</v>
      </c>
      <c r="K355">
        <v>1467.96</v>
      </c>
      <c r="L355" t="s">
        <v>43</v>
      </c>
      <c r="M355" t="s">
        <v>32</v>
      </c>
      <c r="N355" s="12">
        <v>44837</v>
      </c>
      <c r="Q355">
        <v>428</v>
      </c>
      <c r="R355" t="s">
        <v>26</v>
      </c>
      <c r="S355">
        <v>18632.37</v>
      </c>
      <c r="T355" s="10" t="s">
        <v>1267</v>
      </c>
      <c r="U355" s="23">
        <f>COUNTIF(Table1[Loan_Status],"Defaulted")/COUNTA(Table1[Loan_ID])</f>
        <v>0.248</v>
      </c>
    </row>
    <row r="356" spans="1:21" x14ac:dyDescent="0.3">
      <c r="A356" t="s">
        <v>913</v>
      </c>
      <c r="B356" t="s">
        <v>914</v>
      </c>
      <c r="C356">
        <v>35</v>
      </c>
      <c r="D356" t="s">
        <v>29</v>
      </c>
      <c r="E356" t="s">
        <v>22</v>
      </c>
      <c r="F356" t="s">
        <v>23</v>
      </c>
      <c r="G356">
        <v>144388</v>
      </c>
      <c r="H356">
        <v>118869</v>
      </c>
      <c r="I356">
        <v>12</v>
      </c>
      <c r="J356">
        <v>22.09</v>
      </c>
      <c r="K356">
        <v>11130.62</v>
      </c>
      <c r="L356" t="s">
        <v>31</v>
      </c>
      <c r="M356" t="s">
        <v>32</v>
      </c>
      <c r="N356" s="12">
        <v>45036</v>
      </c>
      <c r="Q356">
        <v>332</v>
      </c>
      <c r="R356" t="s">
        <v>26</v>
      </c>
      <c r="S356">
        <v>39366.33</v>
      </c>
      <c r="T356" s="10" t="s">
        <v>1278</v>
      </c>
      <c r="U356" s="23">
        <f>COUNTIF(Table1[Loan_Status],"Defaulted")/COUNTA(Table1[Loan_ID])</f>
        <v>0.248</v>
      </c>
    </row>
    <row r="357" spans="1:21" x14ac:dyDescent="0.3">
      <c r="A357" t="s">
        <v>915</v>
      </c>
      <c r="B357" t="s">
        <v>916</v>
      </c>
      <c r="C357">
        <v>24</v>
      </c>
      <c r="D357" t="s">
        <v>21</v>
      </c>
      <c r="E357" t="s">
        <v>68</v>
      </c>
      <c r="F357" t="s">
        <v>23</v>
      </c>
      <c r="G357">
        <v>138246</v>
      </c>
      <c r="H357">
        <v>100212</v>
      </c>
      <c r="I357">
        <v>6</v>
      </c>
      <c r="J357">
        <v>33.5</v>
      </c>
      <c r="K357">
        <v>18371.349999999999</v>
      </c>
      <c r="L357" t="s">
        <v>36</v>
      </c>
      <c r="M357" t="s">
        <v>54</v>
      </c>
      <c r="N357" s="12">
        <v>44574</v>
      </c>
      <c r="O357" t="s">
        <v>917</v>
      </c>
      <c r="P357">
        <v>124</v>
      </c>
      <c r="Q357">
        <v>554</v>
      </c>
      <c r="R357" t="s">
        <v>26</v>
      </c>
      <c r="S357">
        <v>0</v>
      </c>
      <c r="T357" s="10" t="s">
        <v>1262</v>
      </c>
      <c r="U357" s="23">
        <f>COUNTIF(Table1[Loan_Status],"Defaulted")/COUNTA(Table1[Loan_ID])</f>
        <v>0.248</v>
      </c>
    </row>
    <row r="358" spans="1:21" x14ac:dyDescent="0.3">
      <c r="A358" t="s">
        <v>918</v>
      </c>
      <c r="B358" t="s">
        <v>919</v>
      </c>
      <c r="C358">
        <v>49</v>
      </c>
      <c r="D358" t="s">
        <v>29</v>
      </c>
      <c r="E358" t="s">
        <v>49</v>
      </c>
      <c r="F358" t="s">
        <v>23</v>
      </c>
      <c r="G358">
        <v>135805</v>
      </c>
      <c r="H358">
        <v>390520</v>
      </c>
      <c r="I358">
        <v>3</v>
      </c>
      <c r="J358">
        <v>24.51</v>
      </c>
      <c r="K358">
        <v>135526.75</v>
      </c>
      <c r="L358" t="s">
        <v>39</v>
      </c>
      <c r="M358" t="s">
        <v>54</v>
      </c>
      <c r="N358" s="12">
        <v>44960</v>
      </c>
      <c r="O358" t="s">
        <v>893</v>
      </c>
      <c r="P358">
        <v>319</v>
      </c>
      <c r="Q358">
        <v>630</v>
      </c>
      <c r="R358" t="s">
        <v>26</v>
      </c>
      <c r="S358">
        <v>0</v>
      </c>
      <c r="T358" s="10" t="s">
        <v>1277</v>
      </c>
      <c r="U358" s="23">
        <f>COUNTIF(Table1[Loan_Status],"Defaulted")/COUNTA(Table1[Loan_ID])</f>
        <v>0.248</v>
      </c>
    </row>
    <row r="359" spans="1:21" x14ac:dyDescent="0.3">
      <c r="A359" t="s">
        <v>920</v>
      </c>
      <c r="B359" t="s">
        <v>921</v>
      </c>
      <c r="C359">
        <v>23</v>
      </c>
      <c r="D359" t="s">
        <v>29</v>
      </c>
      <c r="E359" t="s">
        <v>42</v>
      </c>
      <c r="F359" t="s">
        <v>35</v>
      </c>
      <c r="G359">
        <v>93332</v>
      </c>
      <c r="H359">
        <v>109188</v>
      </c>
      <c r="I359">
        <v>12</v>
      </c>
      <c r="J359">
        <v>33.299999999999997</v>
      </c>
      <c r="K359">
        <v>10822.44</v>
      </c>
      <c r="L359" t="s">
        <v>39</v>
      </c>
      <c r="M359" t="s">
        <v>25</v>
      </c>
      <c r="N359" s="12">
        <v>44803</v>
      </c>
      <c r="Q359">
        <v>744</v>
      </c>
      <c r="R359" t="s">
        <v>46</v>
      </c>
      <c r="S359">
        <v>0</v>
      </c>
      <c r="T359" s="10" t="s">
        <v>1275</v>
      </c>
      <c r="U359" s="23">
        <f>COUNTIF(Table1[Loan_Status],"Defaulted")/COUNTA(Table1[Loan_ID])</f>
        <v>0.248</v>
      </c>
    </row>
    <row r="360" spans="1:21" x14ac:dyDescent="0.3">
      <c r="A360" t="s">
        <v>922</v>
      </c>
      <c r="B360" t="s">
        <v>782</v>
      </c>
      <c r="C360">
        <v>38</v>
      </c>
      <c r="D360" t="s">
        <v>29</v>
      </c>
      <c r="E360" t="s">
        <v>68</v>
      </c>
      <c r="F360" t="s">
        <v>23</v>
      </c>
      <c r="G360">
        <v>17340</v>
      </c>
      <c r="H360">
        <v>27016</v>
      </c>
      <c r="I360">
        <v>24</v>
      </c>
      <c r="J360">
        <v>30.8</v>
      </c>
      <c r="K360">
        <v>1521.69</v>
      </c>
      <c r="L360" t="s">
        <v>31</v>
      </c>
      <c r="M360" t="s">
        <v>44</v>
      </c>
      <c r="N360" s="12">
        <v>44942</v>
      </c>
      <c r="O360" t="s">
        <v>466</v>
      </c>
      <c r="P360">
        <v>91</v>
      </c>
      <c r="Q360">
        <v>554</v>
      </c>
      <c r="R360" t="s">
        <v>46</v>
      </c>
      <c r="S360">
        <v>0</v>
      </c>
      <c r="T360" s="10" t="s">
        <v>1266</v>
      </c>
      <c r="U360" s="23">
        <f>COUNTIF(Table1[Loan_Status],"Defaulted")/COUNTA(Table1[Loan_ID])</f>
        <v>0.248</v>
      </c>
    </row>
    <row r="361" spans="1:21" x14ac:dyDescent="0.3">
      <c r="A361" t="s">
        <v>923</v>
      </c>
      <c r="B361" t="s">
        <v>924</v>
      </c>
      <c r="C361">
        <v>42</v>
      </c>
      <c r="D361" t="s">
        <v>29</v>
      </c>
      <c r="E361" t="s">
        <v>49</v>
      </c>
      <c r="F361" t="s">
        <v>35</v>
      </c>
      <c r="G361">
        <v>55348</v>
      </c>
      <c r="H361">
        <v>372697</v>
      </c>
      <c r="I361">
        <v>24</v>
      </c>
      <c r="J361">
        <v>31</v>
      </c>
      <c r="K361">
        <v>21030.87</v>
      </c>
      <c r="L361" t="s">
        <v>39</v>
      </c>
      <c r="M361" t="s">
        <v>54</v>
      </c>
      <c r="N361" s="12">
        <v>44800</v>
      </c>
      <c r="O361" t="s">
        <v>925</v>
      </c>
      <c r="P361">
        <v>324</v>
      </c>
      <c r="Q361">
        <v>655</v>
      </c>
      <c r="R361" t="s">
        <v>26</v>
      </c>
      <c r="S361">
        <v>0</v>
      </c>
      <c r="T361" s="10" t="s">
        <v>1275</v>
      </c>
      <c r="U361" s="23">
        <f>COUNTIF(Table1[Loan_Status],"Defaulted")/COUNTA(Table1[Loan_ID])</f>
        <v>0.248</v>
      </c>
    </row>
    <row r="362" spans="1:21" x14ac:dyDescent="0.3">
      <c r="A362" t="s">
        <v>926</v>
      </c>
      <c r="B362" t="s">
        <v>927</v>
      </c>
      <c r="C362">
        <v>33</v>
      </c>
      <c r="D362" t="s">
        <v>29</v>
      </c>
      <c r="E362" t="s">
        <v>68</v>
      </c>
      <c r="F362" t="s">
        <v>35</v>
      </c>
      <c r="G362">
        <v>50319</v>
      </c>
      <c r="H362">
        <v>136437</v>
      </c>
      <c r="I362">
        <v>3</v>
      </c>
      <c r="J362">
        <v>23.65</v>
      </c>
      <c r="K362">
        <v>47283.29</v>
      </c>
      <c r="L362" t="s">
        <v>31</v>
      </c>
      <c r="M362" t="s">
        <v>32</v>
      </c>
      <c r="N362" s="12">
        <v>45117</v>
      </c>
      <c r="Q362">
        <v>801</v>
      </c>
      <c r="R362" t="s">
        <v>26</v>
      </c>
      <c r="S362">
        <v>31768.41</v>
      </c>
      <c r="T362" s="10" t="s">
        <v>1265</v>
      </c>
      <c r="U362" s="23">
        <f>COUNTIF(Table1[Loan_Status],"Defaulted")/COUNTA(Table1[Loan_ID])</f>
        <v>0.248</v>
      </c>
    </row>
    <row r="363" spans="1:21" x14ac:dyDescent="0.3">
      <c r="A363" t="s">
        <v>928</v>
      </c>
      <c r="B363" t="s">
        <v>929</v>
      </c>
      <c r="C363">
        <v>55</v>
      </c>
      <c r="D363" t="s">
        <v>21</v>
      </c>
      <c r="E363" t="s">
        <v>42</v>
      </c>
      <c r="F363" t="s">
        <v>35</v>
      </c>
      <c r="G363">
        <v>87174</v>
      </c>
      <c r="H363">
        <v>459904</v>
      </c>
      <c r="I363">
        <v>24</v>
      </c>
      <c r="J363">
        <v>33.950000000000003</v>
      </c>
      <c r="K363">
        <v>26658.84</v>
      </c>
      <c r="L363" t="s">
        <v>24</v>
      </c>
      <c r="M363" t="s">
        <v>44</v>
      </c>
      <c r="N363" s="12">
        <v>44632</v>
      </c>
      <c r="O363" t="s">
        <v>559</v>
      </c>
      <c r="P363">
        <v>543</v>
      </c>
      <c r="Q363">
        <v>458</v>
      </c>
      <c r="R363" t="s">
        <v>46</v>
      </c>
      <c r="S363">
        <v>0</v>
      </c>
      <c r="T363" s="10" t="s">
        <v>1264</v>
      </c>
      <c r="U363" s="23">
        <f>COUNTIF(Table1[Loan_Status],"Defaulted")/COUNTA(Table1[Loan_ID])</f>
        <v>0.248</v>
      </c>
    </row>
    <row r="364" spans="1:21" x14ac:dyDescent="0.3">
      <c r="A364" t="s">
        <v>930</v>
      </c>
      <c r="B364" t="s">
        <v>931</v>
      </c>
      <c r="C364">
        <v>55</v>
      </c>
      <c r="D364" t="s">
        <v>21</v>
      </c>
      <c r="E364" t="s">
        <v>68</v>
      </c>
      <c r="F364" t="s">
        <v>23</v>
      </c>
      <c r="G364">
        <v>147633</v>
      </c>
      <c r="H364">
        <v>203727</v>
      </c>
      <c r="I364">
        <v>6</v>
      </c>
      <c r="J364">
        <v>33.19</v>
      </c>
      <c r="K364">
        <v>37316.129999999997</v>
      </c>
      <c r="L364" t="s">
        <v>24</v>
      </c>
      <c r="M364" t="s">
        <v>32</v>
      </c>
      <c r="N364" s="12">
        <v>45197</v>
      </c>
      <c r="Q364">
        <v>544</v>
      </c>
      <c r="R364" t="s">
        <v>26</v>
      </c>
      <c r="S364">
        <v>66106.53</v>
      </c>
      <c r="T364" s="10" t="s">
        <v>1284</v>
      </c>
      <c r="U364" s="23">
        <f>COUNTIF(Table1[Loan_Status],"Defaulted")/COUNTA(Table1[Loan_ID])</f>
        <v>0.248</v>
      </c>
    </row>
    <row r="365" spans="1:21" x14ac:dyDescent="0.3">
      <c r="A365" t="s">
        <v>932</v>
      </c>
      <c r="B365" t="s">
        <v>933</v>
      </c>
      <c r="C365">
        <v>55</v>
      </c>
      <c r="D365" t="s">
        <v>21</v>
      </c>
      <c r="E365" t="s">
        <v>22</v>
      </c>
      <c r="F365" t="s">
        <v>35</v>
      </c>
      <c r="G365">
        <v>55404</v>
      </c>
      <c r="H365">
        <v>326409</v>
      </c>
      <c r="I365">
        <v>12</v>
      </c>
      <c r="J365">
        <v>19.739999999999998</v>
      </c>
      <c r="K365">
        <v>30196.13</v>
      </c>
      <c r="L365" t="s">
        <v>36</v>
      </c>
      <c r="M365" t="s">
        <v>25</v>
      </c>
      <c r="N365" s="12">
        <v>44660</v>
      </c>
      <c r="Q365">
        <v>835</v>
      </c>
      <c r="R365" t="s">
        <v>46</v>
      </c>
      <c r="S365">
        <v>0</v>
      </c>
      <c r="T365" s="10" t="s">
        <v>1274</v>
      </c>
      <c r="U365" s="23">
        <f>COUNTIF(Table1[Loan_Status],"Defaulted")/COUNTA(Table1[Loan_ID])</f>
        <v>0.248</v>
      </c>
    </row>
    <row r="366" spans="1:21" x14ac:dyDescent="0.3">
      <c r="A366" t="s">
        <v>934</v>
      </c>
      <c r="B366" t="s">
        <v>935</v>
      </c>
      <c r="C366">
        <v>29</v>
      </c>
      <c r="D366" t="s">
        <v>29</v>
      </c>
      <c r="E366" t="s">
        <v>49</v>
      </c>
      <c r="F366" t="s">
        <v>23</v>
      </c>
      <c r="G366">
        <v>43063</v>
      </c>
      <c r="H366">
        <v>259473</v>
      </c>
      <c r="I366">
        <v>6</v>
      </c>
      <c r="J366">
        <v>14.37</v>
      </c>
      <c r="K366">
        <v>45076.01</v>
      </c>
      <c r="L366" t="s">
        <v>24</v>
      </c>
      <c r="M366" t="s">
        <v>54</v>
      </c>
      <c r="N366" s="12">
        <v>45235</v>
      </c>
      <c r="O366" t="s">
        <v>936</v>
      </c>
      <c r="P366">
        <v>125</v>
      </c>
      <c r="Q366">
        <v>838</v>
      </c>
      <c r="R366" t="s">
        <v>26</v>
      </c>
      <c r="S366">
        <v>0</v>
      </c>
      <c r="T366" s="10" t="s">
        <v>1273</v>
      </c>
      <c r="U366" s="23">
        <f>COUNTIF(Table1[Loan_Status],"Defaulted")/COUNTA(Table1[Loan_ID])</f>
        <v>0.248</v>
      </c>
    </row>
    <row r="367" spans="1:21" x14ac:dyDescent="0.3">
      <c r="A367" t="s">
        <v>937</v>
      </c>
      <c r="B367" t="s">
        <v>938</v>
      </c>
      <c r="C367">
        <v>24</v>
      </c>
      <c r="D367" t="s">
        <v>21</v>
      </c>
      <c r="E367" t="s">
        <v>22</v>
      </c>
      <c r="F367" t="s">
        <v>23</v>
      </c>
      <c r="G367">
        <v>18430</v>
      </c>
      <c r="H367">
        <v>492698</v>
      </c>
      <c r="I367">
        <v>6</v>
      </c>
      <c r="J367">
        <v>27.74</v>
      </c>
      <c r="K367">
        <v>88886.720000000001</v>
      </c>
      <c r="L367" t="s">
        <v>43</v>
      </c>
      <c r="M367" t="s">
        <v>54</v>
      </c>
      <c r="N367" s="12">
        <v>45216</v>
      </c>
      <c r="O367" t="s">
        <v>105</v>
      </c>
      <c r="P367">
        <v>31</v>
      </c>
      <c r="Q367">
        <v>669</v>
      </c>
      <c r="R367" t="s">
        <v>26</v>
      </c>
      <c r="S367">
        <v>0</v>
      </c>
      <c r="T367" s="10" t="s">
        <v>1279</v>
      </c>
      <c r="U367" s="23">
        <f>COUNTIF(Table1[Loan_Status],"Defaulted")/COUNTA(Table1[Loan_ID])</f>
        <v>0.248</v>
      </c>
    </row>
    <row r="368" spans="1:21" x14ac:dyDescent="0.3">
      <c r="A368" t="s">
        <v>939</v>
      </c>
      <c r="B368" t="s">
        <v>940</v>
      </c>
      <c r="C368">
        <v>44</v>
      </c>
      <c r="D368" t="s">
        <v>29</v>
      </c>
      <c r="E368" t="s">
        <v>30</v>
      </c>
      <c r="F368" t="s">
        <v>35</v>
      </c>
      <c r="G368">
        <v>25656</v>
      </c>
      <c r="H368">
        <v>389984</v>
      </c>
      <c r="I368">
        <v>3</v>
      </c>
      <c r="J368">
        <v>32.03</v>
      </c>
      <c r="K368">
        <v>136995.14000000001</v>
      </c>
      <c r="L368" t="s">
        <v>43</v>
      </c>
      <c r="M368" t="s">
        <v>44</v>
      </c>
      <c r="N368" s="12">
        <v>45093</v>
      </c>
      <c r="O368" t="s">
        <v>50</v>
      </c>
      <c r="P368">
        <v>49</v>
      </c>
      <c r="Q368">
        <v>403</v>
      </c>
      <c r="R368" t="s">
        <v>46</v>
      </c>
      <c r="S368">
        <v>0</v>
      </c>
      <c r="T368" s="10" t="s">
        <v>1276</v>
      </c>
      <c r="U368" s="23">
        <f>COUNTIF(Table1[Loan_Status],"Defaulted")/COUNTA(Table1[Loan_ID])</f>
        <v>0.248</v>
      </c>
    </row>
    <row r="369" spans="1:21" x14ac:dyDescent="0.3">
      <c r="A369" t="s">
        <v>941</v>
      </c>
      <c r="B369" t="s">
        <v>942</v>
      </c>
      <c r="C369">
        <v>45</v>
      </c>
      <c r="D369" t="s">
        <v>29</v>
      </c>
      <c r="E369" t="s">
        <v>22</v>
      </c>
      <c r="F369" t="s">
        <v>23</v>
      </c>
      <c r="G369">
        <v>61897</v>
      </c>
      <c r="H369">
        <v>297774</v>
      </c>
      <c r="I369">
        <v>24</v>
      </c>
      <c r="J369">
        <v>21.96</v>
      </c>
      <c r="K369">
        <v>15442.08</v>
      </c>
      <c r="L369" t="s">
        <v>43</v>
      </c>
      <c r="M369" t="s">
        <v>32</v>
      </c>
      <c r="N369" s="12">
        <v>45252</v>
      </c>
      <c r="Q369">
        <v>769</v>
      </c>
      <c r="R369" t="s">
        <v>26</v>
      </c>
      <c r="S369">
        <v>176218.27</v>
      </c>
      <c r="T369" s="10" t="s">
        <v>1273</v>
      </c>
      <c r="U369" s="23">
        <f>COUNTIF(Table1[Loan_Status],"Defaulted")/COUNTA(Table1[Loan_ID])</f>
        <v>0.248</v>
      </c>
    </row>
    <row r="370" spans="1:21" x14ac:dyDescent="0.3">
      <c r="A370" t="s">
        <v>943</v>
      </c>
      <c r="B370" t="s">
        <v>944</v>
      </c>
      <c r="C370">
        <v>27</v>
      </c>
      <c r="D370" t="s">
        <v>29</v>
      </c>
      <c r="E370" t="s">
        <v>22</v>
      </c>
      <c r="F370" t="s">
        <v>35</v>
      </c>
      <c r="G370">
        <v>147302</v>
      </c>
      <c r="H370">
        <v>181953</v>
      </c>
      <c r="I370">
        <v>6</v>
      </c>
      <c r="J370">
        <v>24.81</v>
      </c>
      <c r="K370">
        <v>32557.34</v>
      </c>
      <c r="L370" t="s">
        <v>24</v>
      </c>
      <c r="M370" t="s">
        <v>54</v>
      </c>
      <c r="N370" s="12">
        <v>44922</v>
      </c>
      <c r="O370" t="s">
        <v>575</v>
      </c>
      <c r="P370">
        <v>322</v>
      </c>
      <c r="Q370">
        <v>632</v>
      </c>
      <c r="R370" t="s">
        <v>26</v>
      </c>
      <c r="S370">
        <v>0</v>
      </c>
      <c r="T370" s="10" t="s">
        <v>1280</v>
      </c>
      <c r="U370" s="23">
        <f>COUNTIF(Table1[Loan_Status],"Defaulted")/COUNTA(Table1[Loan_ID])</f>
        <v>0.248</v>
      </c>
    </row>
    <row r="371" spans="1:21" x14ac:dyDescent="0.3">
      <c r="A371" t="s">
        <v>945</v>
      </c>
      <c r="B371" t="s">
        <v>946</v>
      </c>
      <c r="C371">
        <v>47</v>
      </c>
      <c r="D371" t="s">
        <v>21</v>
      </c>
      <c r="E371" t="s">
        <v>42</v>
      </c>
      <c r="F371" t="s">
        <v>23</v>
      </c>
      <c r="G371">
        <v>71079</v>
      </c>
      <c r="H371">
        <v>201641</v>
      </c>
      <c r="I371">
        <v>24</v>
      </c>
      <c r="J371">
        <v>34.229999999999997</v>
      </c>
      <c r="K371">
        <v>11718</v>
      </c>
      <c r="L371" t="s">
        <v>36</v>
      </c>
      <c r="M371" t="s">
        <v>32</v>
      </c>
      <c r="N371" s="12">
        <v>45025</v>
      </c>
      <c r="Q371">
        <v>758</v>
      </c>
      <c r="R371" t="s">
        <v>26</v>
      </c>
      <c r="S371">
        <v>155642.07</v>
      </c>
      <c r="T371" s="10" t="s">
        <v>1278</v>
      </c>
      <c r="U371" s="23">
        <f>COUNTIF(Table1[Loan_Status],"Defaulted")/COUNTA(Table1[Loan_ID])</f>
        <v>0.248</v>
      </c>
    </row>
    <row r="372" spans="1:21" x14ac:dyDescent="0.3">
      <c r="A372" t="s">
        <v>947</v>
      </c>
      <c r="B372" t="s">
        <v>948</v>
      </c>
      <c r="C372">
        <v>23</v>
      </c>
      <c r="D372" t="s">
        <v>21</v>
      </c>
      <c r="E372" t="s">
        <v>30</v>
      </c>
      <c r="F372" t="s">
        <v>23</v>
      </c>
      <c r="G372">
        <v>50411</v>
      </c>
      <c r="H372">
        <v>471786</v>
      </c>
      <c r="I372">
        <v>12</v>
      </c>
      <c r="J372">
        <v>12.16</v>
      </c>
      <c r="K372">
        <v>41952.94</v>
      </c>
      <c r="L372" t="s">
        <v>39</v>
      </c>
      <c r="M372" t="s">
        <v>44</v>
      </c>
      <c r="N372" s="12">
        <v>44884</v>
      </c>
      <c r="O372" t="s">
        <v>138</v>
      </c>
      <c r="P372">
        <v>22</v>
      </c>
      <c r="Q372">
        <v>582</v>
      </c>
      <c r="R372" t="s">
        <v>46</v>
      </c>
      <c r="S372">
        <v>0</v>
      </c>
      <c r="T372" s="10" t="s">
        <v>1269</v>
      </c>
      <c r="U372" s="23">
        <f>COUNTIF(Table1[Loan_Status],"Defaulted")/COUNTA(Table1[Loan_ID])</f>
        <v>0.248</v>
      </c>
    </row>
    <row r="373" spans="1:21" x14ac:dyDescent="0.3">
      <c r="A373" t="s">
        <v>949</v>
      </c>
      <c r="B373" t="s">
        <v>950</v>
      </c>
      <c r="C373">
        <v>30</v>
      </c>
      <c r="D373" t="s">
        <v>29</v>
      </c>
      <c r="E373" t="s">
        <v>49</v>
      </c>
      <c r="F373" t="s">
        <v>35</v>
      </c>
      <c r="G373">
        <v>108233</v>
      </c>
      <c r="H373">
        <v>86845</v>
      </c>
      <c r="I373">
        <v>6</v>
      </c>
      <c r="J373">
        <v>18.36</v>
      </c>
      <c r="K373">
        <v>15259.06</v>
      </c>
      <c r="L373" t="s">
        <v>24</v>
      </c>
      <c r="M373" t="s">
        <v>44</v>
      </c>
      <c r="N373" s="12">
        <v>44800</v>
      </c>
      <c r="O373" t="s">
        <v>951</v>
      </c>
      <c r="P373">
        <v>262</v>
      </c>
      <c r="Q373">
        <v>607</v>
      </c>
      <c r="R373" t="s">
        <v>26</v>
      </c>
      <c r="S373">
        <v>0</v>
      </c>
      <c r="T373" s="10" t="s">
        <v>1275</v>
      </c>
      <c r="U373" s="23">
        <f>COUNTIF(Table1[Loan_Status],"Defaulted")/COUNTA(Table1[Loan_ID])</f>
        <v>0.248</v>
      </c>
    </row>
    <row r="374" spans="1:21" x14ac:dyDescent="0.3">
      <c r="A374" t="s">
        <v>952</v>
      </c>
      <c r="B374" t="s">
        <v>953</v>
      </c>
      <c r="C374">
        <v>34</v>
      </c>
      <c r="D374" t="s">
        <v>29</v>
      </c>
      <c r="E374" t="s">
        <v>42</v>
      </c>
      <c r="F374" t="s">
        <v>35</v>
      </c>
      <c r="G374">
        <v>60325</v>
      </c>
      <c r="H374">
        <v>260997</v>
      </c>
      <c r="I374">
        <v>24</v>
      </c>
      <c r="J374">
        <v>31.67</v>
      </c>
      <c r="K374">
        <v>14818.38</v>
      </c>
      <c r="L374" t="s">
        <v>43</v>
      </c>
      <c r="M374" t="s">
        <v>32</v>
      </c>
      <c r="N374" s="12">
        <v>44600</v>
      </c>
      <c r="Q374">
        <v>690</v>
      </c>
      <c r="R374" t="s">
        <v>26</v>
      </c>
      <c r="S374">
        <v>40437.360000000001</v>
      </c>
      <c r="T374" s="10" t="s">
        <v>1263</v>
      </c>
      <c r="U374" s="23">
        <f>COUNTIF(Table1[Loan_Status],"Defaulted")/COUNTA(Table1[Loan_ID])</f>
        <v>0.248</v>
      </c>
    </row>
    <row r="375" spans="1:21" x14ac:dyDescent="0.3">
      <c r="A375" t="s">
        <v>954</v>
      </c>
      <c r="B375" t="s">
        <v>620</v>
      </c>
      <c r="C375">
        <v>42</v>
      </c>
      <c r="D375" t="s">
        <v>21</v>
      </c>
      <c r="E375" t="s">
        <v>68</v>
      </c>
      <c r="F375" t="s">
        <v>35</v>
      </c>
      <c r="G375">
        <v>46598</v>
      </c>
      <c r="H375">
        <v>461018</v>
      </c>
      <c r="I375">
        <v>6</v>
      </c>
      <c r="J375">
        <v>29.94</v>
      </c>
      <c r="K375">
        <v>83683.81</v>
      </c>
      <c r="L375" t="s">
        <v>24</v>
      </c>
      <c r="M375" t="s">
        <v>25</v>
      </c>
      <c r="N375" s="12">
        <v>45211</v>
      </c>
      <c r="Q375">
        <v>691</v>
      </c>
      <c r="R375" t="s">
        <v>26</v>
      </c>
      <c r="S375">
        <v>0</v>
      </c>
      <c r="T375" s="10" t="s">
        <v>1279</v>
      </c>
      <c r="U375" s="23">
        <f>COUNTIF(Table1[Loan_Status],"Defaulted")/COUNTA(Table1[Loan_ID])</f>
        <v>0.248</v>
      </c>
    </row>
    <row r="376" spans="1:21" x14ac:dyDescent="0.3">
      <c r="A376" t="s">
        <v>955</v>
      </c>
      <c r="B376" t="s">
        <v>956</v>
      </c>
      <c r="C376">
        <v>23</v>
      </c>
      <c r="D376" t="s">
        <v>21</v>
      </c>
      <c r="E376" t="s">
        <v>30</v>
      </c>
      <c r="F376" t="s">
        <v>23</v>
      </c>
      <c r="G376">
        <v>100676</v>
      </c>
      <c r="H376">
        <v>268403</v>
      </c>
      <c r="I376">
        <v>6</v>
      </c>
      <c r="J376">
        <v>15.68</v>
      </c>
      <c r="K376">
        <v>46801.79</v>
      </c>
      <c r="L376" t="s">
        <v>31</v>
      </c>
      <c r="M376" t="s">
        <v>54</v>
      </c>
      <c r="N376" s="12">
        <v>45171</v>
      </c>
      <c r="O376" t="s">
        <v>957</v>
      </c>
      <c r="P376">
        <v>294</v>
      </c>
      <c r="Q376">
        <v>816</v>
      </c>
      <c r="R376" t="s">
        <v>26</v>
      </c>
      <c r="S376">
        <v>0</v>
      </c>
      <c r="T376" s="10" t="s">
        <v>1284</v>
      </c>
      <c r="U376" s="23">
        <f>COUNTIF(Table1[Loan_Status],"Defaulted")/COUNTA(Table1[Loan_ID])</f>
        <v>0.248</v>
      </c>
    </row>
    <row r="377" spans="1:21" x14ac:dyDescent="0.3">
      <c r="A377" t="s">
        <v>958</v>
      </c>
      <c r="B377" t="s">
        <v>959</v>
      </c>
      <c r="C377">
        <v>35</v>
      </c>
      <c r="D377" t="s">
        <v>21</v>
      </c>
      <c r="E377" t="s">
        <v>42</v>
      </c>
      <c r="F377" t="s">
        <v>35</v>
      </c>
      <c r="G377">
        <v>53800</v>
      </c>
      <c r="H377">
        <v>74305</v>
      </c>
      <c r="I377">
        <v>12</v>
      </c>
      <c r="J377">
        <v>13.98</v>
      </c>
      <c r="K377">
        <v>6670.93</v>
      </c>
      <c r="L377" t="s">
        <v>24</v>
      </c>
      <c r="M377" t="s">
        <v>25</v>
      </c>
      <c r="N377" s="12">
        <v>45123</v>
      </c>
      <c r="Q377">
        <v>708</v>
      </c>
      <c r="R377" t="s">
        <v>46</v>
      </c>
      <c r="S377">
        <v>0</v>
      </c>
      <c r="T377" s="10" t="s">
        <v>1265</v>
      </c>
      <c r="U377" s="23">
        <f>COUNTIF(Table1[Loan_Status],"Defaulted")/COUNTA(Table1[Loan_ID])</f>
        <v>0.248</v>
      </c>
    </row>
    <row r="378" spans="1:21" x14ac:dyDescent="0.3">
      <c r="A378" t="s">
        <v>960</v>
      </c>
      <c r="B378" t="s">
        <v>961</v>
      </c>
      <c r="C378">
        <v>53</v>
      </c>
      <c r="D378" t="s">
        <v>21</v>
      </c>
      <c r="E378" t="s">
        <v>22</v>
      </c>
      <c r="F378" t="s">
        <v>23</v>
      </c>
      <c r="G378">
        <v>141070</v>
      </c>
      <c r="H378">
        <v>298232</v>
      </c>
      <c r="I378">
        <v>6</v>
      </c>
      <c r="J378">
        <v>23.71</v>
      </c>
      <c r="K378">
        <v>53198.7</v>
      </c>
      <c r="L378" t="s">
        <v>24</v>
      </c>
      <c r="M378" t="s">
        <v>44</v>
      </c>
      <c r="N378" s="12">
        <v>45136</v>
      </c>
      <c r="O378" t="s">
        <v>962</v>
      </c>
      <c r="P378">
        <v>315</v>
      </c>
      <c r="Q378">
        <v>836</v>
      </c>
      <c r="R378" t="s">
        <v>46</v>
      </c>
      <c r="S378">
        <v>0</v>
      </c>
      <c r="T378" s="10" t="s">
        <v>1265</v>
      </c>
      <c r="U378" s="23">
        <f>COUNTIF(Table1[Loan_Status],"Defaulted")/COUNTA(Table1[Loan_ID])</f>
        <v>0.248</v>
      </c>
    </row>
    <row r="379" spans="1:21" x14ac:dyDescent="0.3">
      <c r="A379" t="s">
        <v>963</v>
      </c>
      <c r="B379" t="s">
        <v>964</v>
      </c>
      <c r="C379">
        <v>38</v>
      </c>
      <c r="D379" t="s">
        <v>21</v>
      </c>
      <c r="E379" t="s">
        <v>42</v>
      </c>
      <c r="F379" t="s">
        <v>23</v>
      </c>
      <c r="G379">
        <v>44499</v>
      </c>
      <c r="H379">
        <v>357189</v>
      </c>
      <c r="I379">
        <v>18</v>
      </c>
      <c r="J379">
        <v>22.16</v>
      </c>
      <c r="K379">
        <v>23505.26</v>
      </c>
      <c r="L379" t="s">
        <v>36</v>
      </c>
      <c r="M379" t="s">
        <v>44</v>
      </c>
      <c r="N379" s="12">
        <v>44890</v>
      </c>
      <c r="O379" t="s">
        <v>330</v>
      </c>
      <c r="P379">
        <v>352</v>
      </c>
      <c r="Q379">
        <v>324</v>
      </c>
      <c r="R379" t="s">
        <v>46</v>
      </c>
      <c r="S379">
        <v>0</v>
      </c>
      <c r="T379" s="10" t="s">
        <v>1269</v>
      </c>
      <c r="U379" s="23">
        <f>COUNTIF(Table1[Loan_Status],"Defaulted")/COUNTA(Table1[Loan_ID])</f>
        <v>0.248</v>
      </c>
    </row>
    <row r="380" spans="1:21" x14ac:dyDescent="0.3">
      <c r="A380" t="s">
        <v>965</v>
      </c>
      <c r="B380" t="s">
        <v>469</v>
      </c>
      <c r="C380">
        <v>43</v>
      </c>
      <c r="D380" t="s">
        <v>21</v>
      </c>
      <c r="E380" t="s">
        <v>30</v>
      </c>
      <c r="F380" t="s">
        <v>23</v>
      </c>
      <c r="G380">
        <v>130464</v>
      </c>
      <c r="H380">
        <v>28528</v>
      </c>
      <c r="I380">
        <v>6</v>
      </c>
      <c r="J380">
        <v>16.79</v>
      </c>
      <c r="K380">
        <v>4990.2</v>
      </c>
      <c r="L380" t="s">
        <v>36</v>
      </c>
      <c r="M380" t="s">
        <v>44</v>
      </c>
      <c r="N380" s="12">
        <v>44649</v>
      </c>
      <c r="O380" t="s">
        <v>966</v>
      </c>
      <c r="P380">
        <v>115</v>
      </c>
      <c r="Q380">
        <v>355</v>
      </c>
      <c r="R380" t="s">
        <v>46</v>
      </c>
      <c r="S380">
        <v>0</v>
      </c>
      <c r="T380" s="10" t="s">
        <v>1264</v>
      </c>
      <c r="U380" s="23">
        <f>COUNTIF(Table1[Loan_Status],"Defaulted")/COUNTA(Table1[Loan_ID])</f>
        <v>0.248</v>
      </c>
    </row>
    <row r="381" spans="1:21" x14ac:dyDescent="0.3">
      <c r="A381" t="s">
        <v>967</v>
      </c>
      <c r="B381" t="s">
        <v>968</v>
      </c>
      <c r="C381">
        <v>39</v>
      </c>
      <c r="D381" t="s">
        <v>29</v>
      </c>
      <c r="E381" t="s">
        <v>42</v>
      </c>
      <c r="F381" t="s">
        <v>23</v>
      </c>
      <c r="G381">
        <v>94984</v>
      </c>
      <c r="H381">
        <v>240961</v>
      </c>
      <c r="I381">
        <v>18</v>
      </c>
      <c r="J381">
        <v>12.55</v>
      </c>
      <c r="K381">
        <v>14755.93</v>
      </c>
      <c r="L381" t="s">
        <v>39</v>
      </c>
      <c r="M381" t="s">
        <v>44</v>
      </c>
      <c r="N381" s="12">
        <v>44770</v>
      </c>
      <c r="O381" t="s">
        <v>969</v>
      </c>
      <c r="P381">
        <v>559</v>
      </c>
      <c r="Q381">
        <v>835</v>
      </c>
      <c r="R381" t="s">
        <v>46</v>
      </c>
      <c r="S381">
        <v>0</v>
      </c>
      <c r="T381" s="10" t="s">
        <v>1281</v>
      </c>
      <c r="U381" s="23">
        <f>COUNTIF(Table1[Loan_Status],"Defaulted")/COUNTA(Table1[Loan_ID])</f>
        <v>0.248</v>
      </c>
    </row>
    <row r="382" spans="1:21" x14ac:dyDescent="0.3">
      <c r="A382" t="s">
        <v>970</v>
      </c>
      <c r="B382" t="s">
        <v>971</v>
      </c>
      <c r="C382">
        <v>51</v>
      </c>
      <c r="D382" t="s">
        <v>29</v>
      </c>
      <c r="E382" t="s">
        <v>49</v>
      </c>
      <c r="F382" t="s">
        <v>35</v>
      </c>
      <c r="G382">
        <v>26398</v>
      </c>
      <c r="H382">
        <v>138932</v>
      </c>
      <c r="I382">
        <v>6</v>
      </c>
      <c r="J382">
        <v>13.44</v>
      </c>
      <c r="K382">
        <v>24071.45</v>
      </c>
      <c r="L382" t="s">
        <v>39</v>
      </c>
      <c r="M382" t="s">
        <v>32</v>
      </c>
      <c r="N382" s="12">
        <v>44616</v>
      </c>
      <c r="Q382">
        <v>776</v>
      </c>
      <c r="R382" t="s">
        <v>26</v>
      </c>
      <c r="S382">
        <v>77569.97</v>
      </c>
      <c r="T382" s="10" t="s">
        <v>1263</v>
      </c>
      <c r="U382" s="23">
        <f>COUNTIF(Table1[Loan_Status],"Defaulted")/COUNTA(Table1[Loan_ID])</f>
        <v>0.248</v>
      </c>
    </row>
    <row r="383" spans="1:21" x14ac:dyDescent="0.3">
      <c r="A383" t="s">
        <v>972</v>
      </c>
      <c r="B383" t="s">
        <v>973</v>
      </c>
      <c r="C383">
        <v>25</v>
      </c>
      <c r="D383" t="s">
        <v>21</v>
      </c>
      <c r="E383" t="s">
        <v>42</v>
      </c>
      <c r="F383" t="s">
        <v>35</v>
      </c>
      <c r="G383">
        <v>43283</v>
      </c>
      <c r="H383">
        <v>15002</v>
      </c>
      <c r="I383">
        <v>12</v>
      </c>
      <c r="J383">
        <v>32.82</v>
      </c>
      <c r="K383">
        <v>1483.39</v>
      </c>
      <c r="L383" t="s">
        <v>31</v>
      </c>
      <c r="M383" t="s">
        <v>44</v>
      </c>
      <c r="N383" s="12">
        <v>44951</v>
      </c>
      <c r="O383" t="s">
        <v>707</v>
      </c>
      <c r="P383">
        <v>520</v>
      </c>
      <c r="Q383">
        <v>401</v>
      </c>
      <c r="R383" t="s">
        <v>46</v>
      </c>
      <c r="S383">
        <v>0</v>
      </c>
      <c r="T383" s="10" t="s">
        <v>1266</v>
      </c>
      <c r="U383" s="23">
        <f>COUNTIF(Table1[Loan_Status],"Defaulted")/COUNTA(Table1[Loan_ID])</f>
        <v>0.248</v>
      </c>
    </row>
    <row r="384" spans="1:21" x14ac:dyDescent="0.3">
      <c r="A384" t="s">
        <v>974</v>
      </c>
      <c r="B384" t="s">
        <v>975</v>
      </c>
      <c r="C384">
        <v>55</v>
      </c>
      <c r="D384" t="s">
        <v>29</v>
      </c>
      <c r="E384" t="s">
        <v>22</v>
      </c>
      <c r="F384" t="s">
        <v>23</v>
      </c>
      <c r="G384">
        <v>146242</v>
      </c>
      <c r="H384">
        <v>245116</v>
      </c>
      <c r="I384">
        <v>24</v>
      </c>
      <c r="J384">
        <v>34.229999999999997</v>
      </c>
      <c r="K384">
        <v>14244.47</v>
      </c>
      <c r="L384" t="s">
        <v>43</v>
      </c>
      <c r="M384" t="s">
        <v>25</v>
      </c>
      <c r="N384" s="12">
        <v>44815</v>
      </c>
      <c r="Q384">
        <v>842</v>
      </c>
      <c r="R384" t="s">
        <v>46</v>
      </c>
      <c r="S384">
        <v>0</v>
      </c>
      <c r="T384" s="10" t="s">
        <v>1270</v>
      </c>
      <c r="U384" s="23">
        <f>COUNTIF(Table1[Loan_Status],"Defaulted")/COUNTA(Table1[Loan_ID])</f>
        <v>0.248</v>
      </c>
    </row>
    <row r="385" spans="1:21" x14ac:dyDescent="0.3">
      <c r="A385" t="s">
        <v>976</v>
      </c>
      <c r="B385" t="s">
        <v>977</v>
      </c>
      <c r="C385">
        <v>46</v>
      </c>
      <c r="D385" t="s">
        <v>29</v>
      </c>
      <c r="E385" t="s">
        <v>49</v>
      </c>
      <c r="F385" t="s">
        <v>35</v>
      </c>
      <c r="G385">
        <v>107251</v>
      </c>
      <c r="H385">
        <v>191320</v>
      </c>
      <c r="I385">
        <v>12</v>
      </c>
      <c r="J385">
        <v>17.670000000000002</v>
      </c>
      <c r="K385">
        <v>17510.18</v>
      </c>
      <c r="L385" t="s">
        <v>24</v>
      </c>
      <c r="M385" t="s">
        <v>32</v>
      </c>
      <c r="N385" s="12">
        <v>44625</v>
      </c>
      <c r="Q385">
        <v>563</v>
      </c>
      <c r="R385" t="s">
        <v>26</v>
      </c>
      <c r="S385">
        <v>136807.98000000001</v>
      </c>
      <c r="T385" s="10" t="s">
        <v>1264</v>
      </c>
      <c r="U385" s="23">
        <f>COUNTIF(Table1[Loan_Status],"Defaulted")/COUNTA(Table1[Loan_ID])</f>
        <v>0.248</v>
      </c>
    </row>
    <row r="386" spans="1:21" x14ac:dyDescent="0.3">
      <c r="A386" t="s">
        <v>978</v>
      </c>
      <c r="B386" t="s">
        <v>979</v>
      </c>
      <c r="C386">
        <v>38</v>
      </c>
      <c r="D386" t="s">
        <v>29</v>
      </c>
      <c r="E386" t="s">
        <v>22</v>
      </c>
      <c r="F386" t="s">
        <v>35</v>
      </c>
      <c r="G386">
        <v>117982</v>
      </c>
      <c r="H386">
        <v>349421</v>
      </c>
      <c r="I386">
        <v>6</v>
      </c>
      <c r="J386">
        <v>14.11</v>
      </c>
      <c r="K386">
        <v>60656.87</v>
      </c>
      <c r="L386" t="s">
        <v>31</v>
      </c>
      <c r="M386" t="s">
        <v>44</v>
      </c>
      <c r="N386" s="12">
        <v>44989</v>
      </c>
      <c r="O386" t="s">
        <v>427</v>
      </c>
      <c r="P386">
        <v>123</v>
      </c>
      <c r="Q386">
        <v>456</v>
      </c>
      <c r="R386" t="s">
        <v>46</v>
      </c>
      <c r="S386">
        <v>0</v>
      </c>
      <c r="T386" s="10" t="s">
        <v>1271</v>
      </c>
      <c r="U386" s="23">
        <f>COUNTIF(Table1[Loan_Status],"Defaulted")/COUNTA(Table1[Loan_ID])</f>
        <v>0.248</v>
      </c>
    </row>
    <row r="387" spans="1:21" x14ac:dyDescent="0.3">
      <c r="A387" t="s">
        <v>980</v>
      </c>
      <c r="B387" t="s">
        <v>981</v>
      </c>
      <c r="C387">
        <v>42</v>
      </c>
      <c r="D387" t="s">
        <v>21</v>
      </c>
      <c r="E387" t="s">
        <v>30</v>
      </c>
      <c r="F387" t="s">
        <v>23</v>
      </c>
      <c r="G387">
        <v>69200</v>
      </c>
      <c r="H387">
        <v>347083</v>
      </c>
      <c r="I387">
        <v>6</v>
      </c>
      <c r="J387">
        <v>25.94</v>
      </c>
      <c r="K387">
        <v>62301.760000000002</v>
      </c>
      <c r="L387" t="s">
        <v>39</v>
      </c>
      <c r="M387" t="s">
        <v>44</v>
      </c>
      <c r="N387" s="12">
        <v>44878</v>
      </c>
      <c r="O387" t="s">
        <v>92</v>
      </c>
      <c r="P387">
        <v>536</v>
      </c>
      <c r="Q387">
        <v>438</v>
      </c>
      <c r="R387" t="s">
        <v>46</v>
      </c>
      <c r="S387">
        <v>0</v>
      </c>
      <c r="T387" s="10" t="s">
        <v>1269</v>
      </c>
      <c r="U387" s="23">
        <f>COUNTIF(Table1[Loan_Status],"Defaulted")/COUNTA(Table1[Loan_ID])</f>
        <v>0.248</v>
      </c>
    </row>
    <row r="388" spans="1:21" x14ac:dyDescent="0.3">
      <c r="A388" t="s">
        <v>982</v>
      </c>
      <c r="B388" t="s">
        <v>983</v>
      </c>
      <c r="C388">
        <v>31</v>
      </c>
      <c r="D388" t="s">
        <v>21</v>
      </c>
      <c r="E388" t="s">
        <v>49</v>
      </c>
      <c r="F388" t="s">
        <v>23</v>
      </c>
      <c r="G388">
        <v>63269</v>
      </c>
      <c r="H388">
        <v>171512</v>
      </c>
      <c r="I388">
        <v>6</v>
      </c>
      <c r="J388">
        <v>29.45</v>
      </c>
      <c r="K388">
        <v>31090.29</v>
      </c>
      <c r="L388" t="s">
        <v>36</v>
      </c>
      <c r="M388" t="s">
        <v>54</v>
      </c>
      <c r="N388" s="12">
        <v>44983</v>
      </c>
      <c r="O388" t="s">
        <v>984</v>
      </c>
      <c r="P388">
        <v>155</v>
      </c>
      <c r="Q388">
        <v>753</v>
      </c>
      <c r="R388" t="s">
        <v>26</v>
      </c>
      <c r="S388">
        <v>0</v>
      </c>
      <c r="T388" s="10" t="s">
        <v>1277</v>
      </c>
      <c r="U388" s="23">
        <f>COUNTIF(Table1[Loan_Status],"Defaulted")/COUNTA(Table1[Loan_ID])</f>
        <v>0.248</v>
      </c>
    </row>
    <row r="389" spans="1:21" x14ac:dyDescent="0.3">
      <c r="A389" t="s">
        <v>985</v>
      </c>
      <c r="B389" t="s">
        <v>986</v>
      </c>
      <c r="C389">
        <v>30</v>
      </c>
      <c r="D389" t="s">
        <v>29</v>
      </c>
      <c r="E389" t="s">
        <v>49</v>
      </c>
      <c r="F389" t="s">
        <v>23</v>
      </c>
      <c r="G389">
        <v>63430</v>
      </c>
      <c r="H389">
        <v>18735</v>
      </c>
      <c r="I389">
        <v>24</v>
      </c>
      <c r="J389">
        <v>26.81</v>
      </c>
      <c r="K389">
        <v>1017.01</v>
      </c>
      <c r="L389" t="s">
        <v>24</v>
      </c>
      <c r="M389" t="s">
        <v>44</v>
      </c>
      <c r="N389" s="12">
        <v>45172</v>
      </c>
      <c r="O389" t="s">
        <v>868</v>
      </c>
      <c r="P389">
        <v>118</v>
      </c>
      <c r="Q389">
        <v>536</v>
      </c>
      <c r="R389" t="s">
        <v>46</v>
      </c>
      <c r="S389">
        <v>0</v>
      </c>
      <c r="T389" s="10" t="s">
        <v>1284</v>
      </c>
      <c r="U389" s="23">
        <f>COUNTIF(Table1[Loan_Status],"Defaulted")/COUNTA(Table1[Loan_ID])</f>
        <v>0.248</v>
      </c>
    </row>
    <row r="390" spans="1:21" x14ac:dyDescent="0.3">
      <c r="A390" t="s">
        <v>987</v>
      </c>
      <c r="B390" t="s">
        <v>988</v>
      </c>
      <c r="C390">
        <v>26</v>
      </c>
      <c r="D390" t="s">
        <v>21</v>
      </c>
      <c r="E390" t="s">
        <v>22</v>
      </c>
      <c r="F390" t="s">
        <v>35</v>
      </c>
      <c r="G390">
        <v>113031</v>
      </c>
      <c r="H390">
        <v>101456</v>
      </c>
      <c r="I390">
        <v>18</v>
      </c>
      <c r="J390">
        <v>23.79</v>
      </c>
      <c r="K390">
        <v>6756.92</v>
      </c>
      <c r="L390" t="s">
        <v>39</v>
      </c>
      <c r="M390" t="s">
        <v>44</v>
      </c>
      <c r="N390" s="12">
        <v>44759</v>
      </c>
      <c r="O390" t="s">
        <v>989</v>
      </c>
      <c r="P390">
        <v>231</v>
      </c>
      <c r="Q390">
        <v>333</v>
      </c>
      <c r="R390" t="s">
        <v>46</v>
      </c>
      <c r="S390">
        <v>0</v>
      </c>
      <c r="T390" s="10" t="s">
        <v>1281</v>
      </c>
      <c r="U390" s="23">
        <f>COUNTIF(Table1[Loan_Status],"Defaulted")/COUNTA(Table1[Loan_ID])</f>
        <v>0.248</v>
      </c>
    </row>
    <row r="391" spans="1:21" x14ac:dyDescent="0.3">
      <c r="A391" t="s">
        <v>990</v>
      </c>
      <c r="B391" t="s">
        <v>991</v>
      </c>
      <c r="C391">
        <v>38</v>
      </c>
      <c r="D391" t="s">
        <v>21</v>
      </c>
      <c r="E391" t="s">
        <v>22</v>
      </c>
      <c r="F391" t="s">
        <v>23</v>
      </c>
      <c r="G391">
        <v>68624</v>
      </c>
      <c r="H391">
        <v>39674</v>
      </c>
      <c r="I391">
        <v>6</v>
      </c>
      <c r="J391">
        <v>34.25</v>
      </c>
      <c r="K391">
        <v>7288.36</v>
      </c>
      <c r="L391" t="s">
        <v>31</v>
      </c>
      <c r="M391" t="s">
        <v>54</v>
      </c>
      <c r="N391" s="12">
        <v>45266</v>
      </c>
      <c r="O391" t="s">
        <v>758</v>
      </c>
      <c r="P391">
        <v>83</v>
      </c>
      <c r="Q391">
        <v>768</v>
      </c>
      <c r="R391" t="s">
        <v>26</v>
      </c>
      <c r="S391">
        <v>0</v>
      </c>
      <c r="T391" s="10" t="s">
        <v>1282</v>
      </c>
      <c r="U391" s="23">
        <f>COUNTIF(Table1[Loan_Status],"Defaulted")/COUNTA(Table1[Loan_ID])</f>
        <v>0.248</v>
      </c>
    </row>
    <row r="392" spans="1:21" x14ac:dyDescent="0.3">
      <c r="A392" t="s">
        <v>992</v>
      </c>
      <c r="B392" t="s">
        <v>993</v>
      </c>
      <c r="C392">
        <v>48</v>
      </c>
      <c r="D392" t="s">
        <v>21</v>
      </c>
      <c r="E392" t="s">
        <v>49</v>
      </c>
      <c r="F392" t="s">
        <v>35</v>
      </c>
      <c r="G392">
        <v>97024</v>
      </c>
      <c r="H392">
        <v>211648</v>
      </c>
      <c r="I392">
        <v>24</v>
      </c>
      <c r="J392">
        <v>34.54</v>
      </c>
      <c r="K392">
        <v>12334.05</v>
      </c>
      <c r="L392" t="s">
        <v>24</v>
      </c>
      <c r="M392" t="s">
        <v>25</v>
      </c>
      <c r="N392" s="12">
        <v>45095</v>
      </c>
      <c r="Q392">
        <v>411</v>
      </c>
      <c r="R392" t="s">
        <v>46</v>
      </c>
      <c r="S392">
        <v>0</v>
      </c>
      <c r="T392" s="10" t="s">
        <v>1276</v>
      </c>
      <c r="U392" s="23">
        <f>COUNTIF(Table1[Loan_Status],"Defaulted")/COUNTA(Table1[Loan_ID])</f>
        <v>0.248</v>
      </c>
    </row>
    <row r="393" spans="1:21" x14ac:dyDescent="0.3">
      <c r="A393" t="s">
        <v>994</v>
      </c>
      <c r="B393" t="s">
        <v>995</v>
      </c>
      <c r="C393">
        <v>36</v>
      </c>
      <c r="D393" t="s">
        <v>21</v>
      </c>
      <c r="E393" t="s">
        <v>49</v>
      </c>
      <c r="F393" t="s">
        <v>35</v>
      </c>
      <c r="G393">
        <v>27922</v>
      </c>
      <c r="H393">
        <v>104536</v>
      </c>
      <c r="I393">
        <v>12</v>
      </c>
      <c r="J393">
        <v>22.55</v>
      </c>
      <c r="K393">
        <v>9811.67</v>
      </c>
      <c r="L393" t="s">
        <v>36</v>
      </c>
      <c r="M393" t="s">
        <v>32</v>
      </c>
      <c r="N393" s="12">
        <v>45034</v>
      </c>
      <c r="Q393">
        <v>470</v>
      </c>
      <c r="R393" t="s">
        <v>26</v>
      </c>
      <c r="S393">
        <v>41367.35</v>
      </c>
      <c r="T393" s="10" t="s">
        <v>1278</v>
      </c>
      <c r="U393" s="23">
        <f>COUNTIF(Table1[Loan_Status],"Defaulted")/COUNTA(Table1[Loan_ID])</f>
        <v>0.248</v>
      </c>
    </row>
    <row r="394" spans="1:21" x14ac:dyDescent="0.3">
      <c r="A394" t="s">
        <v>996</v>
      </c>
      <c r="B394" t="s">
        <v>997</v>
      </c>
      <c r="C394">
        <v>54</v>
      </c>
      <c r="D394" t="s">
        <v>29</v>
      </c>
      <c r="E394" t="s">
        <v>68</v>
      </c>
      <c r="F394" t="s">
        <v>35</v>
      </c>
      <c r="G394">
        <v>38708</v>
      </c>
      <c r="H394">
        <v>383875</v>
      </c>
      <c r="I394">
        <v>24</v>
      </c>
      <c r="J394">
        <v>14.72</v>
      </c>
      <c r="K394">
        <v>18561.78</v>
      </c>
      <c r="L394" t="s">
        <v>24</v>
      </c>
      <c r="M394" t="s">
        <v>44</v>
      </c>
      <c r="N394" s="12">
        <v>44964</v>
      </c>
      <c r="O394" t="s">
        <v>559</v>
      </c>
      <c r="P394">
        <v>211</v>
      </c>
      <c r="Q394">
        <v>631</v>
      </c>
      <c r="R394" t="s">
        <v>46</v>
      </c>
      <c r="S394">
        <v>0</v>
      </c>
      <c r="T394" s="10" t="s">
        <v>1277</v>
      </c>
      <c r="U394" s="23">
        <f>COUNTIF(Table1[Loan_Status],"Defaulted")/COUNTA(Table1[Loan_ID])</f>
        <v>0.248</v>
      </c>
    </row>
    <row r="395" spans="1:21" x14ac:dyDescent="0.3">
      <c r="A395" t="s">
        <v>998</v>
      </c>
      <c r="B395" t="s">
        <v>999</v>
      </c>
      <c r="C395">
        <v>50</v>
      </c>
      <c r="D395" t="s">
        <v>29</v>
      </c>
      <c r="E395" t="s">
        <v>68</v>
      </c>
      <c r="F395" t="s">
        <v>23</v>
      </c>
      <c r="G395">
        <v>80557</v>
      </c>
      <c r="H395">
        <v>174908</v>
      </c>
      <c r="I395">
        <v>6</v>
      </c>
      <c r="J395">
        <v>29.24</v>
      </c>
      <c r="K395">
        <v>31687.32</v>
      </c>
      <c r="L395" t="s">
        <v>43</v>
      </c>
      <c r="M395" t="s">
        <v>25</v>
      </c>
      <c r="N395" s="12">
        <v>44678</v>
      </c>
      <c r="Q395">
        <v>760</v>
      </c>
      <c r="R395" t="s">
        <v>46</v>
      </c>
      <c r="S395">
        <v>0</v>
      </c>
      <c r="T395" s="10" t="s">
        <v>1274</v>
      </c>
      <c r="U395" s="23">
        <f>COUNTIF(Table1[Loan_Status],"Defaulted")/COUNTA(Table1[Loan_ID])</f>
        <v>0.248</v>
      </c>
    </row>
    <row r="396" spans="1:21" x14ac:dyDescent="0.3">
      <c r="A396" t="s">
        <v>1000</v>
      </c>
      <c r="B396" t="s">
        <v>1001</v>
      </c>
      <c r="C396">
        <v>54</v>
      </c>
      <c r="D396" t="s">
        <v>21</v>
      </c>
      <c r="E396" t="s">
        <v>30</v>
      </c>
      <c r="F396" t="s">
        <v>23</v>
      </c>
      <c r="G396">
        <v>114268</v>
      </c>
      <c r="H396">
        <v>293539</v>
      </c>
      <c r="I396">
        <v>18</v>
      </c>
      <c r="J396">
        <v>13.05</v>
      </c>
      <c r="K396">
        <v>18044.11</v>
      </c>
      <c r="L396" t="s">
        <v>39</v>
      </c>
      <c r="M396" t="s">
        <v>32</v>
      </c>
      <c r="N396" s="12">
        <v>45141</v>
      </c>
      <c r="Q396">
        <v>453</v>
      </c>
      <c r="R396" t="s">
        <v>26</v>
      </c>
      <c r="S396">
        <v>62666.720000000001</v>
      </c>
      <c r="T396" s="10" t="s">
        <v>1261</v>
      </c>
      <c r="U396" s="23">
        <f>COUNTIF(Table1[Loan_Status],"Defaulted")/COUNTA(Table1[Loan_ID])</f>
        <v>0.248</v>
      </c>
    </row>
    <row r="397" spans="1:21" x14ac:dyDescent="0.3">
      <c r="A397" t="s">
        <v>1002</v>
      </c>
      <c r="B397" t="s">
        <v>1003</v>
      </c>
      <c r="C397">
        <v>32</v>
      </c>
      <c r="D397" t="s">
        <v>29</v>
      </c>
      <c r="E397" t="s">
        <v>68</v>
      </c>
      <c r="F397" t="s">
        <v>35</v>
      </c>
      <c r="G397">
        <v>96138</v>
      </c>
      <c r="H397">
        <v>387815</v>
      </c>
      <c r="I397">
        <v>18</v>
      </c>
      <c r="J397">
        <v>18.93</v>
      </c>
      <c r="K397">
        <v>24917.11</v>
      </c>
      <c r="L397" t="s">
        <v>39</v>
      </c>
      <c r="M397" t="s">
        <v>25</v>
      </c>
      <c r="N397" s="12">
        <v>44696</v>
      </c>
      <c r="Q397">
        <v>507</v>
      </c>
      <c r="R397" t="s">
        <v>26</v>
      </c>
      <c r="S397">
        <v>0</v>
      </c>
      <c r="T397" s="10" t="s">
        <v>1272</v>
      </c>
      <c r="U397" s="23">
        <f>COUNTIF(Table1[Loan_Status],"Defaulted")/COUNTA(Table1[Loan_ID])</f>
        <v>0.248</v>
      </c>
    </row>
    <row r="398" spans="1:21" x14ac:dyDescent="0.3">
      <c r="A398" t="s">
        <v>1004</v>
      </c>
      <c r="B398" t="s">
        <v>1005</v>
      </c>
      <c r="C398">
        <v>21</v>
      </c>
      <c r="D398" t="s">
        <v>21</v>
      </c>
      <c r="E398" t="s">
        <v>68</v>
      </c>
      <c r="F398" t="s">
        <v>35</v>
      </c>
      <c r="G398">
        <v>16507</v>
      </c>
      <c r="H398">
        <v>323758</v>
      </c>
      <c r="I398">
        <v>18</v>
      </c>
      <c r="J398">
        <v>17.71</v>
      </c>
      <c r="K398">
        <v>20612.900000000001</v>
      </c>
      <c r="L398" t="s">
        <v>24</v>
      </c>
      <c r="M398" t="s">
        <v>54</v>
      </c>
      <c r="N398" s="12">
        <v>45026</v>
      </c>
      <c r="O398" t="s">
        <v>741</v>
      </c>
      <c r="P398">
        <v>209</v>
      </c>
      <c r="Q398">
        <v>752</v>
      </c>
      <c r="R398" t="s">
        <v>26</v>
      </c>
      <c r="S398">
        <v>0</v>
      </c>
      <c r="T398" s="10" t="s">
        <v>1278</v>
      </c>
      <c r="U398" s="23">
        <f>COUNTIF(Table1[Loan_Status],"Defaulted")/COUNTA(Table1[Loan_ID])</f>
        <v>0.248</v>
      </c>
    </row>
    <row r="399" spans="1:21" x14ac:dyDescent="0.3">
      <c r="A399" t="s">
        <v>1006</v>
      </c>
      <c r="B399" t="s">
        <v>1007</v>
      </c>
      <c r="C399">
        <v>21</v>
      </c>
      <c r="D399" t="s">
        <v>29</v>
      </c>
      <c r="E399" t="s">
        <v>30</v>
      </c>
      <c r="F399" t="s">
        <v>35</v>
      </c>
      <c r="G399">
        <v>69430</v>
      </c>
      <c r="H399">
        <v>30647</v>
      </c>
      <c r="I399">
        <v>6</v>
      </c>
      <c r="J399">
        <v>15.56</v>
      </c>
      <c r="K399">
        <v>5342.13</v>
      </c>
      <c r="L399" t="s">
        <v>36</v>
      </c>
      <c r="M399" t="s">
        <v>25</v>
      </c>
      <c r="N399" s="12">
        <v>44710</v>
      </c>
      <c r="Q399">
        <v>333</v>
      </c>
      <c r="R399" t="s">
        <v>46</v>
      </c>
      <c r="S399">
        <v>0</v>
      </c>
      <c r="T399" s="10" t="s">
        <v>1272</v>
      </c>
      <c r="U399" s="23">
        <f>COUNTIF(Table1[Loan_Status],"Defaulted")/COUNTA(Table1[Loan_ID])</f>
        <v>0.248</v>
      </c>
    </row>
    <row r="400" spans="1:21" x14ac:dyDescent="0.3">
      <c r="A400" t="s">
        <v>1008</v>
      </c>
      <c r="B400" t="s">
        <v>1009</v>
      </c>
      <c r="C400">
        <v>42</v>
      </c>
      <c r="D400" t="s">
        <v>29</v>
      </c>
      <c r="E400" t="s">
        <v>49</v>
      </c>
      <c r="F400" t="s">
        <v>23</v>
      </c>
      <c r="G400">
        <v>124302</v>
      </c>
      <c r="H400">
        <v>98453</v>
      </c>
      <c r="I400">
        <v>6</v>
      </c>
      <c r="J400">
        <v>28.13</v>
      </c>
      <c r="K400">
        <v>17781.099999999999</v>
      </c>
      <c r="L400" t="s">
        <v>24</v>
      </c>
      <c r="M400" t="s">
        <v>44</v>
      </c>
      <c r="N400" s="12">
        <v>45028</v>
      </c>
      <c r="O400" t="s">
        <v>369</v>
      </c>
      <c r="P400">
        <v>383</v>
      </c>
      <c r="Q400">
        <v>668</v>
      </c>
      <c r="R400" t="s">
        <v>46</v>
      </c>
      <c r="S400">
        <v>0</v>
      </c>
      <c r="T400" s="10" t="s">
        <v>1278</v>
      </c>
      <c r="U400" s="23">
        <f>COUNTIF(Table1[Loan_Status],"Defaulted")/COUNTA(Table1[Loan_ID])</f>
        <v>0.248</v>
      </c>
    </row>
    <row r="401" spans="1:21" x14ac:dyDescent="0.3">
      <c r="A401" t="s">
        <v>1010</v>
      </c>
      <c r="B401" t="s">
        <v>1011</v>
      </c>
      <c r="C401">
        <v>40</v>
      </c>
      <c r="D401" t="s">
        <v>21</v>
      </c>
      <c r="E401" t="s">
        <v>42</v>
      </c>
      <c r="F401" t="s">
        <v>35</v>
      </c>
      <c r="G401">
        <v>32738</v>
      </c>
      <c r="H401">
        <v>402642</v>
      </c>
      <c r="I401">
        <v>18</v>
      </c>
      <c r="J401">
        <v>32.24</v>
      </c>
      <c r="K401">
        <v>28505.56</v>
      </c>
      <c r="L401" t="s">
        <v>43</v>
      </c>
      <c r="M401" t="s">
        <v>32</v>
      </c>
      <c r="N401" s="12">
        <v>45044</v>
      </c>
      <c r="Q401">
        <v>437</v>
      </c>
      <c r="R401" t="s">
        <v>26</v>
      </c>
      <c r="S401">
        <v>74656.37</v>
      </c>
      <c r="T401" s="10" t="s">
        <v>1278</v>
      </c>
      <c r="U401" s="23">
        <f>COUNTIF(Table1[Loan_Status],"Defaulted")/COUNTA(Table1[Loan_ID])</f>
        <v>0.248</v>
      </c>
    </row>
    <row r="402" spans="1:21" x14ac:dyDescent="0.3">
      <c r="A402" t="s">
        <v>1012</v>
      </c>
      <c r="B402" t="s">
        <v>1013</v>
      </c>
      <c r="C402">
        <v>42</v>
      </c>
      <c r="D402" t="s">
        <v>21</v>
      </c>
      <c r="E402" t="s">
        <v>30</v>
      </c>
      <c r="F402" t="s">
        <v>23</v>
      </c>
      <c r="G402">
        <v>69801</v>
      </c>
      <c r="H402">
        <v>325892</v>
      </c>
      <c r="I402">
        <v>3</v>
      </c>
      <c r="J402">
        <v>14.62</v>
      </c>
      <c r="K402">
        <v>111288.32000000001</v>
      </c>
      <c r="L402" t="s">
        <v>24</v>
      </c>
      <c r="M402" t="s">
        <v>25</v>
      </c>
      <c r="N402" s="12">
        <v>45057</v>
      </c>
      <c r="Q402">
        <v>594</v>
      </c>
      <c r="R402" t="s">
        <v>46</v>
      </c>
      <c r="S402">
        <v>0</v>
      </c>
      <c r="T402" s="10" t="s">
        <v>1283</v>
      </c>
      <c r="U402" s="23">
        <f>COUNTIF(Table1[Loan_Status],"Defaulted")/COUNTA(Table1[Loan_ID])</f>
        <v>0.248</v>
      </c>
    </row>
    <row r="403" spans="1:21" x14ac:dyDescent="0.3">
      <c r="A403" t="s">
        <v>1014</v>
      </c>
      <c r="B403" t="s">
        <v>1015</v>
      </c>
      <c r="C403">
        <v>37</v>
      </c>
      <c r="D403" t="s">
        <v>21</v>
      </c>
      <c r="E403" t="s">
        <v>22</v>
      </c>
      <c r="F403" t="s">
        <v>35</v>
      </c>
      <c r="G403">
        <v>145479</v>
      </c>
      <c r="H403">
        <v>263214</v>
      </c>
      <c r="I403">
        <v>6</v>
      </c>
      <c r="J403">
        <v>33.21</v>
      </c>
      <c r="K403">
        <v>48214.879999999997</v>
      </c>
      <c r="L403" t="s">
        <v>39</v>
      </c>
      <c r="M403" t="s">
        <v>32</v>
      </c>
      <c r="N403" s="12">
        <v>44760</v>
      </c>
      <c r="Q403">
        <v>301</v>
      </c>
      <c r="R403" t="s">
        <v>26</v>
      </c>
      <c r="S403">
        <v>48101.04</v>
      </c>
      <c r="T403" s="10" t="s">
        <v>1281</v>
      </c>
      <c r="U403" s="23">
        <f>COUNTIF(Table1[Loan_Status],"Defaulted")/COUNTA(Table1[Loan_ID])</f>
        <v>0.248</v>
      </c>
    </row>
    <row r="404" spans="1:21" x14ac:dyDescent="0.3">
      <c r="A404" t="s">
        <v>1016</v>
      </c>
      <c r="B404" t="s">
        <v>1017</v>
      </c>
      <c r="C404">
        <v>28</v>
      </c>
      <c r="D404" t="s">
        <v>29</v>
      </c>
      <c r="E404" t="s">
        <v>30</v>
      </c>
      <c r="F404" t="s">
        <v>35</v>
      </c>
      <c r="G404">
        <v>123538</v>
      </c>
      <c r="H404">
        <v>28851</v>
      </c>
      <c r="I404">
        <v>12</v>
      </c>
      <c r="J404">
        <v>20.39</v>
      </c>
      <c r="K404">
        <v>2677.99</v>
      </c>
      <c r="L404" t="s">
        <v>39</v>
      </c>
      <c r="M404" t="s">
        <v>25</v>
      </c>
      <c r="N404" s="12">
        <v>45217</v>
      </c>
      <c r="Q404">
        <v>506</v>
      </c>
      <c r="R404" t="s">
        <v>46</v>
      </c>
      <c r="S404">
        <v>0</v>
      </c>
      <c r="T404" s="10" t="s">
        <v>1279</v>
      </c>
      <c r="U404" s="23">
        <f>COUNTIF(Table1[Loan_Status],"Defaulted")/COUNTA(Table1[Loan_ID])</f>
        <v>0.248</v>
      </c>
    </row>
    <row r="405" spans="1:21" x14ac:dyDescent="0.3">
      <c r="A405" t="s">
        <v>1018</v>
      </c>
      <c r="B405" t="s">
        <v>1019</v>
      </c>
      <c r="C405">
        <v>25</v>
      </c>
      <c r="D405" t="s">
        <v>21</v>
      </c>
      <c r="E405" t="s">
        <v>42</v>
      </c>
      <c r="F405" t="s">
        <v>35</v>
      </c>
      <c r="G405">
        <v>16607</v>
      </c>
      <c r="H405">
        <v>64683</v>
      </c>
      <c r="I405">
        <v>12</v>
      </c>
      <c r="J405">
        <v>20.190000000000001</v>
      </c>
      <c r="K405">
        <v>5997.76</v>
      </c>
      <c r="L405" t="s">
        <v>24</v>
      </c>
      <c r="M405" t="s">
        <v>25</v>
      </c>
      <c r="N405" s="12">
        <v>44741</v>
      </c>
      <c r="Q405">
        <v>498</v>
      </c>
      <c r="R405" t="s">
        <v>46</v>
      </c>
      <c r="S405">
        <v>0</v>
      </c>
      <c r="T405" s="10" t="s">
        <v>1268</v>
      </c>
      <c r="U405" s="23">
        <f>COUNTIF(Table1[Loan_Status],"Defaulted")/COUNTA(Table1[Loan_ID])</f>
        <v>0.248</v>
      </c>
    </row>
    <row r="406" spans="1:21" x14ac:dyDescent="0.3">
      <c r="A406" t="s">
        <v>1020</v>
      </c>
      <c r="B406" t="s">
        <v>1021</v>
      </c>
      <c r="C406">
        <v>51</v>
      </c>
      <c r="D406" t="s">
        <v>21</v>
      </c>
      <c r="E406" t="s">
        <v>49</v>
      </c>
      <c r="F406" t="s">
        <v>23</v>
      </c>
      <c r="G406">
        <v>141221</v>
      </c>
      <c r="H406">
        <v>86467</v>
      </c>
      <c r="I406">
        <v>18</v>
      </c>
      <c r="J406">
        <v>33.409999999999997</v>
      </c>
      <c r="K406">
        <v>6172.74</v>
      </c>
      <c r="L406" t="s">
        <v>24</v>
      </c>
      <c r="M406" t="s">
        <v>32</v>
      </c>
      <c r="N406" s="12">
        <v>45035</v>
      </c>
      <c r="Q406">
        <v>723</v>
      </c>
      <c r="R406" t="s">
        <v>26</v>
      </c>
      <c r="S406">
        <v>64802.95</v>
      </c>
      <c r="T406" s="10" t="s">
        <v>1278</v>
      </c>
      <c r="U406" s="23">
        <f>COUNTIF(Table1[Loan_Status],"Defaulted")/COUNTA(Table1[Loan_ID])</f>
        <v>0.248</v>
      </c>
    </row>
    <row r="407" spans="1:21" x14ac:dyDescent="0.3">
      <c r="A407" t="s">
        <v>1022</v>
      </c>
      <c r="B407" t="s">
        <v>1023</v>
      </c>
      <c r="C407">
        <v>54</v>
      </c>
      <c r="D407" t="s">
        <v>21</v>
      </c>
      <c r="E407" t="s">
        <v>30</v>
      </c>
      <c r="F407" t="s">
        <v>35</v>
      </c>
      <c r="G407">
        <v>19906</v>
      </c>
      <c r="H407">
        <v>114189</v>
      </c>
      <c r="I407">
        <v>24</v>
      </c>
      <c r="J407">
        <v>28.45</v>
      </c>
      <c r="K407">
        <v>6293.88</v>
      </c>
      <c r="L407" t="s">
        <v>36</v>
      </c>
      <c r="M407" t="s">
        <v>25</v>
      </c>
      <c r="N407" s="12">
        <v>44714</v>
      </c>
      <c r="Q407">
        <v>587</v>
      </c>
      <c r="R407" t="s">
        <v>46</v>
      </c>
      <c r="S407">
        <v>0</v>
      </c>
      <c r="T407" s="10" t="s">
        <v>1268</v>
      </c>
      <c r="U407" s="23">
        <f>COUNTIF(Table1[Loan_Status],"Defaulted")/COUNTA(Table1[Loan_ID])</f>
        <v>0.248</v>
      </c>
    </row>
    <row r="408" spans="1:21" x14ac:dyDescent="0.3">
      <c r="A408" t="s">
        <v>1024</v>
      </c>
      <c r="B408" t="s">
        <v>1025</v>
      </c>
      <c r="C408">
        <v>45</v>
      </c>
      <c r="D408" t="s">
        <v>29</v>
      </c>
      <c r="E408" t="s">
        <v>30</v>
      </c>
      <c r="F408" t="s">
        <v>35</v>
      </c>
      <c r="G408">
        <v>64120</v>
      </c>
      <c r="H408">
        <v>317051</v>
      </c>
      <c r="I408">
        <v>3</v>
      </c>
      <c r="J408">
        <v>32.75</v>
      </c>
      <c r="K408">
        <v>111504</v>
      </c>
      <c r="L408" t="s">
        <v>36</v>
      </c>
      <c r="M408" t="s">
        <v>32</v>
      </c>
      <c r="N408" s="12">
        <v>45288</v>
      </c>
      <c r="Q408">
        <v>332</v>
      </c>
      <c r="R408" t="s">
        <v>26</v>
      </c>
      <c r="S408">
        <v>91960.07</v>
      </c>
      <c r="T408" s="10" t="s">
        <v>1282</v>
      </c>
      <c r="U408" s="23">
        <f>COUNTIF(Table1[Loan_Status],"Defaulted")/COUNTA(Table1[Loan_ID])</f>
        <v>0.248</v>
      </c>
    </row>
    <row r="409" spans="1:21" x14ac:dyDescent="0.3">
      <c r="A409" t="s">
        <v>1026</v>
      </c>
      <c r="B409" t="s">
        <v>1027</v>
      </c>
      <c r="C409">
        <v>52</v>
      </c>
      <c r="D409" t="s">
        <v>29</v>
      </c>
      <c r="E409" t="s">
        <v>42</v>
      </c>
      <c r="F409" t="s">
        <v>35</v>
      </c>
      <c r="G409">
        <v>94332</v>
      </c>
      <c r="H409">
        <v>118319</v>
      </c>
      <c r="I409">
        <v>24</v>
      </c>
      <c r="J409">
        <v>19.260000000000002</v>
      </c>
      <c r="K409">
        <v>5979.25</v>
      </c>
      <c r="L409" t="s">
        <v>43</v>
      </c>
      <c r="M409" t="s">
        <v>32</v>
      </c>
      <c r="N409" s="12">
        <v>44600</v>
      </c>
      <c r="Q409">
        <v>506</v>
      </c>
      <c r="R409" t="s">
        <v>26</v>
      </c>
      <c r="S409">
        <v>87478.88</v>
      </c>
      <c r="T409" s="10" t="s">
        <v>1263</v>
      </c>
      <c r="U409" s="23">
        <f>COUNTIF(Table1[Loan_Status],"Defaulted")/COUNTA(Table1[Loan_ID])</f>
        <v>0.248</v>
      </c>
    </row>
    <row r="410" spans="1:21" x14ac:dyDescent="0.3">
      <c r="A410" t="s">
        <v>1028</v>
      </c>
      <c r="B410" t="s">
        <v>1029</v>
      </c>
      <c r="C410">
        <v>53</v>
      </c>
      <c r="D410" t="s">
        <v>29</v>
      </c>
      <c r="E410" t="s">
        <v>68</v>
      </c>
      <c r="F410" t="s">
        <v>23</v>
      </c>
      <c r="G410">
        <v>64862</v>
      </c>
      <c r="H410">
        <v>183318</v>
      </c>
      <c r="I410">
        <v>18</v>
      </c>
      <c r="J410">
        <v>29.58</v>
      </c>
      <c r="K410">
        <v>12733.27</v>
      </c>
      <c r="L410" t="s">
        <v>24</v>
      </c>
      <c r="M410" t="s">
        <v>32</v>
      </c>
      <c r="N410" s="12">
        <v>44897</v>
      </c>
      <c r="Q410">
        <v>446</v>
      </c>
      <c r="R410" t="s">
        <v>26</v>
      </c>
      <c r="S410">
        <v>117073.65</v>
      </c>
      <c r="T410" s="10" t="s">
        <v>1280</v>
      </c>
      <c r="U410" s="23">
        <f>COUNTIF(Table1[Loan_Status],"Defaulted")/COUNTA(Table1[Loan_ID])</f>
        <v>0.248</v>
      </c>
    </row>
    <row r="411" spans="1:21" x14ac:dyDescent="0.3">
      <c r="A411" t="s">
        <v>1030</v>
      </c>
      <c r="B411" t="s">
        <v>1031</v>
      </c>
      <c r="C411">
        <v>54</v>
      </c>
      <c r="D411" t="s">
        <v>29</v>
      </c>
      <c r="E411" t="s">
        <v>22</v>
      </c>
      <c r="F411" t="s">
        <v>23</v>
      </c>
      <c r="G411">
        <v>135420</v>
      </c>
      <c r="H411">
        <v>208207</v>
      </c>
      <c r="I411">
        <v>24</v>
      </c>
      <c r="J411">
        <v>14.78</v>
      </c>
      <c r="K411">
        <v>10073.51</v>
      </c>
      <c r="L411" t="s">
        <v>36</v>
      </c>
      <c r="M411" t="s">
        <v>25</v>
      </c>
      <c r="N411" s="12">
        <v>45265</v>
      </c>
      <c r="Q411">
        <v>389</v>
      </c>
      <c r="R411" t="s">
        <v>46</v>
      </c>
      <c r="S411">
        <v>0</v>
      </c>
      <c r="T411" s="10" t="s">
        <v>1282</v>
      </c>
      <c r="U411" s="23">
        <f>COUNTIF(Table1[Loan_Status],"Defaulted")/COUNTA(Table1[Loan_ID])</f>
        <v>0.248</v>
      </c>
    </row>
    <row r="412" spans="1:21" x14ac:dyDescent="0.3">
      <c r="A412" t="s">
        <v>1033</v>
      </c>
      <c r="B412" t="s">
        <v>1034</v>
      </c>
      <c r="C412">
        <v>27</v>
      </c>
      <c r="D412" t="s">
        <v>21</v>
      </c>
      <c r="E412" t="s">
        <v>49</v>
      </c>
      <c r="F412" t="s">
        <v>35</v>
      </c>
      <c r="G412">
        <v>70009</v>
      </c>
      <c r="H412">
        <v>173233</v>
      </c>
      <c r="I412">
        <v>6</v>
      </c>
      <c r="J412">
        <v>16.62</v>
      </c>
      <c r="K412">
        <v>30287.79</v>
      </c>
      <c r="L412" t="s">
        <v>36</v>
      </c>
      <c r="M412" t="s">
        <v>32</v>
      </c>
      <c r="N412" s="12">
        <v>45013</v>
      </c>
      <c r="Q412">
        <v>420</v>
      </c>
      <c r="R412" t="s">
        <v>26</v>
      </c>
      <c r="S412">
        <v>50386.19</v>
      </c>
      <c r="T412" s="10" t="s">
        <v>1271</v>
      </c>
      <c r="U412" s="23">
        <f>COUNTIF(Table1[Loan_Status],"Defaulted")/COUNTA(Table1[Loan_ID])</f>
        <v>0.248</v>
      </c>
    </row>
    <row r="413" spans="1:21" x14ac:dyDescent="0.3">
      <c r="A413" t="s">
        <v>1035</v>
      </c>
      <c r="B413" t="s">
        <v>1036</v>
      </c>
      <c r="C413">
        <v>38</v>
      </c>
      <c r="D413" t="s">
        <v>29</v>
      </c>
      <c r="E413" t="s">
        <v>49</v>
      </c>
      <c r="F413" t="s">
        <v>23</v>
      </c>
      <c r="G413">
        <v>69153</v>
      </c>
      <c r="H413">
        <v>289441</v>
      </c>
      <c r="I413">
        <v>12</v>
      </c>
      <c r="J413">
        <v>25.18</v>
      </c>
      <c r="K413">
        <v>27534.98</v>
      </c>
      <c r="L413" t="s">
        <v>36</v>
      </c>
      <c r="M413" t="s">
        <v>44</v>
      </c>
      <c r="N413" s="12">
        <v>45283</v>
      </c>
      <c r="O413" t="s">
        <v>1038</v>
      </c>
      <c r="P413">
        <v>72</v>
      </c>
      <c r="Q413">
        <v>550</v>
      </c>
      <c r="R413" t="s">
        <v>46</v>
      </c>
      <c r="S413">
        <v>0</v>
      </c>
      <c r="T413" s="10" t="s">
        <v>1282</v>
      </c>
      <c r="U413" s="23">
        <f>COUNTIF(Table1[Loan_Status],"Defaulted")/COUNTA(Table1[Loan_ID])</f>
        <v>0.248</v>
      </c>
    </row>
    <row r="414" spans="1:21" x14ac:dyDescent="0.3">
      <c r="A414" t="s">
        <v>1039</v>
      </c>
      <c r="B414" t="s">
        <v>1040</v>
      </c>
      <c r="C414">
        <v>42</v>
      </c>
      <c r="D414" t="s">
        <v>21</v>
      </c>
      <c r="E414" t="s">
        <v>49</v>
      </c>
      <c r="F414" t="s">
        <v>23</v>
      </c>
      <c r="G414">
        <v>22600</v>
      </c>
      <c r="H414">
        <v>251801</v>
      </c>
      <c r="I414">
        <v>3</v>
      </c>
      <c r="J414">
        <v>14.54</v>
      </c>
      <c r="K414">
        <v>85975.82</v>
      </c>
      <c r="L414" t="s">
        <v>43</v>
      </c>
      <c r="M414" t="s">
        <v>25</v>
      </c>
      <c r="N414" s="12">
        <v>44998</v>
      </c>
      <c r="Q414">
        <v>701</v>
      </c>
      <c r="R414" t="s">
        <v>46</v>
      </c>
      <c r="S414">
        <v>0</v>
      </c>
      <c r="T414" s="10" t="s">
        <v>1271</v>
      </c>
      <c r="U414" s="23">
        <f>COUNTIF(Table1[Loan_Status],"Defaulted")/COUNTA(Table1[Loan_ID])</f>
        <v>0.248</v>
      </c>
    </row>
    <row r="415" spans="1:21" x14ac:dyDescent="0.3">
      <c r="A415" t="s">
        <v>1041</v>
      </c>
      <c r="B415" t="s">
        <v>1042</v>
      </c>
      <c r="C415">
        <v>43</v>
      </c>
      <c r="D415" t="s">
        <v>21</v>
      </c>
      <c r="E415" t="s">
        <v>42</v>
      </c>
      <c r="F415" t="s">
        <v>23</v>
      </c>
      <c r="G415">
        <v>35590</v>
      </c>
      <c r="H415">
        <v>488804</v>
      </c>
      <c r="I415">
        <v>18</v>
      </c>
      <c r="J415">
        <v>25.63</v>
      </c>
      <c r="K415">
        <v>32994.93</v>
      </c>
      <c r="L415" t="s">
        <v>43</v>
      </c>
      <c r="M415" t="s">
        <v>54</v>
      </c>
      <c r="N415" s="12">
        <v>44661</v>
      </c>
      <c r="O415" t="s">
        <v>1043</v>
      </c>
      <c r="P415">
        <v>466</v>
      </c>
      <c r="Q415">
        <v>617</v>
      </c>
      <c r="R415" t="s">
        <v>26</v>
      </c>
      <c r="S415">
        <v>0</v>
      </c>
      <c r="T415" s="10" t="s">
        <v>1274</v>
      </c>
      <c r="U415" s="23">
        <f>COUNTIF(Table1[Loan_Status],"Defaulted")/COUNTA(Table1[Loan_ID])</f>
        <v>0.248</v>
      </c>
    </row>
    <row r="416" spans="1:21" x14ac:dyDescent="0.3">
      <c r="A416" t="s">
        <v>1044</v>
      </c>
      <c r="B416" t="s">
        <v>1045</v>
      </c>
      <c r="C416">
        <v>51</v>
      </c>
      <c r="D416" t="s">
        <v>29</v>
      </c>
      <c r="E416" t="s">
        <v>22</v>
      </c>
      <c r="F416" t="s">
        <v>23</v>
      </c>
      <c r="G416">
        <v>82646</v>
      </c>
      <c r="H416">
        <v>483602</v>
      </c>
      <c r="I416">
        <v>12</v>
      </c>
      <c r="J416">
        <v>21.41</v>
      </c>
      <c r="K416">
        <v>45125.22</v>
      </c>
      <c r="L416" t="s">
        <v>36</v>
      </c>
      <c r="M416" t="s">
        <v>32</v>
      </c>
      <c r="N416" s="12">
        <v>45026</v>
      </c>
      <c r="Q416">
        <v>799</v>
      </c>
      <c r="R416" t="s">
        <v>26</v>
      </c>
      <c r="S416">
        <v>58605.26</v>
      </c>
      <c r="T416" s="10" t="s">
        <v>1278</v>
      </c>
      <c r="U416" s="23">
        <f>COUNTIF(Table1[Loan_Status],"Defaulted")/COUNTA(Table1[Loan_ID])</f>
        <v>0.248</v>
      </c>
    </row>
    <row r="417" spans="1:21" x14ac:dyDescent="0.3">
      <c r="A417" t="s">
        <v>1046</v>
      </c>
      <c r="B417" t="s">
        <v>1047</v>
      </c>
      <c r="C417">
        <v>28</v>
      </c>
      <c r="D417" t="s">
        <v>21</v>
      </c>
      <c r="E417" t="s">
        <v>68</v>
      </c>
      <c r="F417" t="s">
        <v>35</v>
      </c>
      <c r="G417">
        <v>59774</v>
      </c>
      <c r="H417">
        <v>152984</v>
      </c>
      <c r="I417">
        <v>12</v>
      </c>
      <c r="J417">
        <v>26.51</v>
      </c>
      <c r="K417">
        <v>14652.57</v>
      </c>
      <c r="L417" t="s">
        <v>39</v>
      </c>
      <c r="M417" t="s">
        <v>25</v>
      </c>
      <c r="N417" s="12">
        <v>44977</v>
      </c>
      <c r="Q417">
        <v>409</v>
      </c>
      <c r="R417" t="s">
        <v>46</v>
      </c>
      <c r="S417">
        <v>0</v>
      </c>
      <c r="T417" s="10" t="s">
        <v>1277</v>
      </c>
      <c r="U417" s="23">
        <f>COUNTIF(Table1[Loan_Status],"Defaulted")/COUNTA(Table1[Loan_ID])</f>
        <v>0.248</v>
      </c>
    </row>
    <row r="418" spans="1:21" x14ac:dyDescent="0.3">
      <c r="A418" t="s">
        <v>1048</v>
      </c>
      <c r="B418" t="s">
        <v>1049</v>
      </c>
      <c r="C418">
        <v>40</v>
      </c>
      <c r="D418" t="s">
        <v>21</v>
      </c>
      <c r="E418" t="s">
        <v>68</v>
      </c>
      <c r="F418" t="s">
        <v>35</v>
      </c>
      <c r="G418">
        <v>77541</v>
      </c>
      <c r="H418">
        <v>330517</v>
      </c>
      <c r="I418">
        <v>6</v>
      </c>
      <c r="J418">
        <v>25.15</v>
      </c>
      <c r="K418">
        <v>59196.79</v>
      </c>
      <c r="L418" t="s">
        <v>31</v>
      </c>
      <c r="M418" t="s">
        <v>54</v>
      </c>
      <c r="N418" s="12">
        <v>44629</v>
      </c>
      <c r="O418" t="s">
        <v>117</v>
      </c>
      <c r="P418">
        <v>348</v>
      </c>
      <c r="Q418">
        <v>513</v>
      </c>
      <c r="R418" t="s">
        <v>26</v>
      </c>
      <c r="S418">
        <v>0</v>
      </c>
      <c r="T418" s="10" t="s">
        <v>1264</v>
      </c>
      <c r="U418" s="23">
        <f>COUNTIF(Table1[Loan_Status],"Defaulted")/COUNTA(Table1[Loan_ID])</f>
        <v>0.248</v>
      </c>
    </row>
    <row r="419" spans="1:21" x14ac:dyDescent="0.3">
      <c r="A419" t="s">
        <v>1050</v>
      </c>
      <c r="B419" t="s">
        <v>1051</v>
      </c>
      <c r="C419">
        <v>48</v>
      </c>
      <c r="D419" t="s">
        <v>21</v>
      </c>
      <c r="E419" t="s">
        <v>30</v>
      </c>
      <c r="F419" t="s">
        <v>23</v>
      </c>
      <c r="G419">
        <v>60373</v>
      </c>
      <c r="H419">
        <v>352399</v>
      </c>
      <c r="I419">
        <v>3</v>
      </c>
      <c r="J419">
        <v>29.74</v>
      </c>
      <c r="K419">
        <v>123336.26</v>
      </c>
      <c r="L419" t="s">
        <v>24</v>
      </c>
      <c r="M419" t="s">
        <v>54</v>
      </c>
      <c r="N419" s="12">
        <v>44679</v>
      </c>
      <c r="O419" t="s">
        <v>1052</v>
      </c>
      <c r="P419">
        <v>606</v>
      </c>
      <c r="Q419">
        <v>774</v>
      </c>
      <c r="R419" t="s">
        <v>26</v>
      </c>
      <c r="S419">
        <v>0</v>
      </c>
      <c r="T419" s="10" t="s">
        <v>1274</v>
      </c>
      <c r="U419" s="23">
        <f>COUNTIF(Table1[Loan_Status],"Defaulted")/COUNTA(Table1[Loan_ID])</f>
        <v>0.248</v>
      </c>
    </row>
    <row r="420" spans="1:21" x14ac:dyDescent="0.3">
      <c r="A420" t="s">
        <v>1053</v>
      </c>
      <c r="B420" t="s">
        <v>1054</v>
      </c>
      <c r="C420">
        <v>27</v>
      </c>
      <c r="D420" t="s">
        <v>21</v>
      </c>
      <c r="E420" t="s">
        <v>22</v>
      </c>
      <c r="F420" t="s">
        <v>35</v>
      </c>
      <c r="G420">
        <v>121376</v>
      </c>
      <c r="H420">
        <v>41494</v>
      </c>
      <c r="I420">
        <v>24</v>
      </c>
      <c r="J420">
        <v>14.61</v>
      </c>
      <c r="K420">
        <v>2004.22</v>
      </c>
      <c r="L420" t="s">
        <v>24</v>
      </c>
      <c r="M420" t="s">
        <v>54</v>
      </c>
      <c r="N420" s="12">
        <v>44897</v>
      </c>
      <c r="O420" t="s">
        <v>744</v>
      </c>
      <c r="P420">
        <v>506</v>
      </c>
      <c r="Q420">
        <v>362</v>
      </c>
      <c r="R420" t="s">
        <v>26</v>
      </c>
      <c r="S420">
        <v>0</v>
      </c>
      <c r="T420" s="10" t="s">
        <v>1280</v>
      </c>
      <c r="U420" s="23">
        <f>COUNTIF(Table1[Loan_Status],"Defaulted")/COUNTA(Table1[Loan_ID])</f>
        <v>0.248</v>
      </c>
    </row>
    <row r="421" spans="1:21" x14ac:dyDescent="0.3">
      <c r="A421" t="s">
        <v>1055</v>
      </c>
      <c r="B421" t="s">
        <v>1056</v>
      </c>
      <c r="C421">
        <v>34</v>
      </c>
      <c r="D421" t="s">
        <v>29</v>
      </c>
      <c r="E421" t="s">
        <v>30</v>
      </c>
      <c r="F421" t="s">
        <v>23</v>
      </c>
      <c r="G421">
        <v>53463</v>
      </c>
      <c r="H421">
        <v>351492</v>
      </c>
      <c r="I421">
        <v>6</v>
      </c>
      <c r="J421">
        <v>22.87</v>
      </c>
      <c r="K421">
        <v>62551.13</v>
      </c>
      <c r="L421" t="s">
        <v>36</v>
      </c>
      <c r="M421" t="s">
        <v>54</v>
      </c>
      <c r="N421" s="12">
        <v>45192</v>
      </c>
      <c r="O421" t="s">
        <v>1057</v>
      </c>
      <c r="P421">
        <v>228</v>
      </c>
      <c r="Q421">
        <v>500</v>
      </c>
      <c r="R421" t="s">
        <v>26</v>
      </c>
      <c r="S421">
        <v>0</v>
      </c>
      <c r="T421" s="10" t="s">
        <v>1284</v>
      </c>
      <c r="U421" s="23">
        <f>COUNTIF(Table1[Loan_Status],"Defaulted")/COUNTA(Table1[Loan_ID])</f>
        <v>0.248</v>
      </c>
    </row>
    <row r="422" spans="1:21" x14ac:dyDescent="0.3">
      <c r="A422" t="s">
        <v>1058</v>
      </c>
      <c r="B422" t="s">
        <v>1059</v>
      </c>
      <c r="C422">
        <v>41</v>
      </c>
      <c r="D422" t="s">
        <v>21</v>
      </c>
      <c r="E422" t="s">
        <v>30</v>
      </c>
      <c r="F422" t="s">
        <v>35</v>
      </c>
      <c r="G422">
        <v>128961</v>
      </c>
      <c r="H422">
        <v>381329</v>
      </c>
      <c r="I422">
        <v>12</v>
      </c>
      <c r="J422">
        <v>35.770000000000003</v>
      </c>
      <c r="K422">
        <v>38265.29</v>
      </c>
      <c r="L422" t="s">
        <v>24</v>
      </c>
      <c r="M422" t="s">
        <v>25</v>
      </c>
      <c r="N422" s="12">
        <v>45188</v>
      </c>
      <c r="Q422">
        <v>822</v>
      </c>
      <c r="R422" t="s">
        <v>46</v>
      </c>
      <c r="S422">
        <v>0</v>
      </c>
      <c r="T422" s="10" t="s">
        <v>1284</v>
      </c>
      <c r="U422" s="23">
        <f>COUNTIF(Table1[Loan_Status],"Defaulted")/COUNTA(Table1[Loan_ID])</f>
        <v>0.248</v>
      </c>
    </row>
    <row r="423" spans="1:21" x14ac:dyDescent="0.3">
      <c r="A423" t="s">
        <v>1060</v>
      </c>
      <c r="B423" t="s">
        <v>1061</v>
      </c>
      <c r="C423">
        <v>39</v>
      </c>
      <c r="D423" t="s">
        <v>29</v>
      </c>
      <c r="E423" t="s">
        <v>42</v>
      </c>
      <c r="F423" t="s">
        <v>23</v>
      </c>
      <c r="G423">
        <v>15221</v>
      </c>
      <c r="H423">
        <v>373760</v>
      </c>
      <c r="I423">
        <v>24</v>
      </c>
      <c r="J423">
        <v>31.7</v>
      </c>
      <c r="K423">
        <v>21226.43</v>
      </c>
      <c r="L423" t="s">
        <v>36</v>
      </c>
      <c r="M423" t="s">
        <v>25</v>
      </c>
      <c r="N423" s="12">
        <v>44850</v>
      </c>
      <c r="Q423">
        <v>331</v>
      </c>
      <c r="R423" t="s">
        <v>46</v>
      </c>
      <c r="S423">
        <v>0</v>
      </c>
      <c r="T423" s="10" t="s">
        <v>1267</v>
      </c>
      <c r="U423" s="23">
        <f>COUNTIF(Table1[Loan_Status],"Defaulted")/COUNTA(Table1[Loan_ID])</f>
        <v>0.248</v>
      </c>
    </row>
    <row r="424" spans="1:21" x14ac:dyDescent="0.3">
      <c r="A424" t="s">
        <v>1062</v>
      </c>
      <c r="B424" t="s">
        <v>1063</v>
      </c>
      <c r="C424">
        <v>41</v>
      </c>
      <c r="D424" t="s">
        <v>21</v>
      </c>
      <c r="E424" t="s">
        <v>68</v>
      </c>
      <c r="F424" t="s">
        <v>35</v>
      </c>
      <c r="G424">
        <v>129082</v>
      </c>
      <c r="H424">
        <v>290799</v>
      </c>
      <c r="I424">
        <v>6</v>
      </c>
      <c r="J424">
        <v>27.9</v>
      </c>
      <c r="K424">
        <v>52485.98</v>
      </c>
      <c r="L424" t="s">
        <v>31</v>
      </c>
      <c r="M424" t="s">
        <v>44</v>
      </c>
      <c r="N424" s="12">
        <v>44754</v>
      </c>
      <c r="O424" t="s">
        <v>1064</v>
      </c>
      <c r="P424">
        <v>568</v>
      </c>
      <c r="Q424">
        <v>693</v>
      </c>
      <c r="R424" t="s">
        <v>46</v>
      </c>
      <c r="S424">
        <v>0</v>
      </c>
      <c r="T424" s="10" t="s">
        <v>1281</v>
      </c>
      <c r="U424" s="23">
        <f>COUNTIF(Table1[Loan_Status],"Defaulted")/COUNTA(Table1[Loan_ID])</f>
        <v>0.248</v>
      </c>
    </row>
    <row r="425" spans="1:21" x14ac:dyDescent="0.3">
      <c r="A425" t="s">
        <v>1065</v>
      </c>
      <c r="B425" t="s">
        <v>1066</v>
      </c>
      <c r="C425">
        <v>47</v>
      </c>
      <c r="D425" t="s">
        <v>29</v>
      </c>
      <c r="E425" t="s">
        <v>42</v>
      </c>
      <c r="F425" t="s">
        <v>23</v>
      </c>
      <c r="G425">
        <v>50200</v>
      </c>
      <c r="H425">
        <v>11083</v>
      </c>
      <c r="I425">
        <v>3</v>
      </c>
      <c r="J425">
        <v>27.56</v>
      </c>
      <c r="K425">
        <v>3865.31</v>
      </c>
      <c r="L425" t="s">
        <v>39</v>
      </c>
      <c r="M425" t="s">
        <v>54</v>
      </c>
      <c r="N425" s="12">
        <v>45235</v>
      </c>
      <c r="O425" t="s">
        <v>1067</v>
      </c>
      <c r="P425">
        <v>111</v>
      </c>
      <c r="Q425">
        <v>439</v>
      </c>
      <c r="R425" t="s">
        <v>26</v>
      </c>
      <c r="S425">
        <v>0</v>
      </c>
      <c r="T425" s="10" t="s">
        <v>1273</v>
      </c>
      <c r="U425" s="23">
        <f>COUNTIF(Table1[Loan_Status],"Defaulted")/COUNTA(Table1[Loan_ID])</f>
        <v>0.248</v>
      </c>
    </row>
    <row r="426" spans="1:21" x14ac:dyDescent="0.3">
      <c r="A426" t="s">
        <v>1068</v>
      </c>
      <c r="B426" t="s">
        <v>1069</v>
      </c>
      <c r="C426">
        <v>29</v>
      </c>
      <c r="D426" t="s">
        <v>21</v>
      </c>
      <c r="E426" t="s">
        <v>68</v>
      </c>
      <c r="F426" t="s">
        <v>35</v>
      </c>
      <c r="G426">
        <v>62132</v>
      </c>
      <c r="H426">
        <v>243233</v>
      </c>
      <c r="I426">
        <v>24</v>
      </c>
      <c r="J426">
        <v>22.18</v>
      </c>
      <c r="K426">
        <v>12640.11</v>
      </c>
      <c r="L426" t="s">
        <v>31</v>
      </c>
      <c r="M426" t="s">
        <v>54</v>
      </c>
      <c r="N426" s="12">
        <v>44925</v>
      </c>
      <c r="O426" t="s">
        <v>873</v>
      </c>
      <c r="P426">
        <v>231</v>
      </c>
      <c r="Q426">
        <v>490</v>
      </c>
      <c r="R426" t="s">
        <v>26</v>
      </c>
      <c r="S426">
        <v>0</v>
      </c>
      <c r="T426" s="10" t="s">
        <v>1280</v>
      </c>
      <c r="U426" s="23">
        <f>COUNTIF(Table1[Loan_Status],"Defaulted")/COUNTA(Table1[Loan_ID])</f>
        <v>0.248</v>
      </c>
    </row>
    <row r="427" spans="1:21" x14ac:dyDescent="0.3">
      <c r="A427" t="s">
        <v>1070</v>
      </c>
      <c r="B427" t="s">
        <v>1071</v>
      </c>
      <c r="C427">
        <v>21</v>
      </c>
      <c r="D427" t="s">
        <v>21</v>
      </c>
      <c r="E427" t="s">
        <v>22</v>
      </c>
      <c r="F427" t="s">
        <v>35</v>
      </c>
      <c r="G427">
        <v>122698</v>
      </c>
      <c r="H427">
        <v>490786</v>
      </c>
      <c r="I427">
        <v>24</v>
      </c>
      <c r="J427">
        <v>25.83</v>
      </c>
      <c r="K427">
        <v>26398.82</v>
      </c>
      <c r="L427" t="s">
        <v>43</v>
      </c>
      <c r="M427" t="s">
        <v>25</v>
      </c>
      <c r="N427" s="12">
        <v>45143</v>
      </c>
      <c r="Q427">
        <v>794</v>
      </c>
      <c r="R427" t="s">
        <v>46</v>
      </c>
      <c r="S427">
        <v>0</v>
      </c>
      <c r="T427" s="10" t="s">
        <v>1261</v>
      </c>
      <c r="U427" s="23">
        <f>COUNTIF(Table1[Loan_Status],"Defaulted")/COUNTA(Table1[Loan_ID])</f>
        <v>0.248</v>
      </c>
    </row>
    <row r="428" spans="1:21" x14ac:dyDescent="0.3">
      <c r="A428" t="s">
        <v>1072</v>
      </c>
      <c r="B428" t="s">
        <v>1073</v>
      </c>
      <c r="C428">
        <v>51</v>
      </c>
      <c r="D428" t="s">
        <v>29</v>
      </c>
      <c r="E428" t="s">
        <v>22</v>
      </c>
      <c r="F428" t="s">
        <v>35</v>
      </c>
      <c r="G428">
        <v>136880</v>
      </c>
      <c r="H428">
        <v>276030</v>
      </c>
      <c r="I428">
        <v>3</v>
      </c>
      <c r="J428">
        <v>24.56</v>
      </c>
      <c r="K428">
        <v>95801.71</v>
      </c>
      <c r="L428" t="s">
        <v>24</v>
      </c>
      <c r="M428" t="s">
        <v>25</v>
      </c>
      <c r="N428" s="12">
        <v>44813</v>
      </c>
      <c r="Q428">
        <v>783</v>
      </c>
      <c r="R428" t="s">
        <v>46</v>
      </c>
      <c r="S428">
        <v>0</v>
      </c>
      <c r="T428" s="10" t="s">
        <v>1270</v>
      </c>
      <c r="U428" s="23">
        <f>COUNTIF(Table1[Loan_Status],"Defaulted")/COUNTA(Table1[Loan_ID])</f>
        <v>0.248</v>
      </c>
    </row>
    <row r="429" spans="1:21" x14ac:dyDescent="0.3">
      <c r="A429" t="s">
        <v>1074</v>
      </c>
      <c r="B429" t="s">
        <v>1075</v>
      </c>
      <c r="C429">
        <v>55</v>
      </c>
      <c r="D429" t="s">
        <v>21</v>
      </c>
      <c r="E429" t="s">
        <v>30</v>
      </c>
      <c r="F429" t="s">
        <v>23</v>
      </c>
      <c r="G429">
        <v>105058</v>
      </c>
      <c r="H429">
        <v>285511</v>
      </c>
      <c r="I429">
        <v>3</v>
      </c>
      <c r="J429">
        <v>23.25</v>
      </c>
      <c r="K429">
        <v>98881.77</v>
      </c>
      <c r="L429" t="s">
        <v>24</v>
      </c>
      <c r="M429" t="s">
        <v>54</v>
      </c>
      <c r="N429" s="12">
        <v>45149</v>
      </c>
      <c r="O429" t="s">
        <v>586</v>
      </c>
      <c r="P429">
        <v>169</v>
      </c>
      <c r="Q429">
        <v>731</v>
      </c>
      <c r="R429" t="s">
        <v>26</v>
      </c>
      <c r="S429">
        <v>0</v>
      </c>
      <c r="T429" s="10" t="s">
        <v>1261</v>
      </c>
      <c r="U429" s="23">
        <f>COUNTIF(Table1[Loan_Status],"Defaulted")/COUNTA(Table1[Loan_ID])</f>
        <v>0.248</v>
      </c>
    </row>
    <row r="430" spans="1:21" x14ac:dyDescent="0.3">
      <c r="A430" t="s">
        <v>1076</v>
      </c>
      <c r="B430" t="s">
        <v>1077</v>
      </c>
      <c r="C430">
        <v>39</v>
      </c>
      <c r="D430" t="s">
        <v>21</v>
      </c>
      <c r="E430" t="s">
        <v>22</v>
      </c>
      <c r="F430" t="s">
        <v>23</v>
      </c>
      <c r="G430">
        <v>94710</v>
      </c>
      <c r="H430">
        <v>386142</v>
      </c>
      <c r="I430">
        <v>24</v>
      </c>
      <c r="J430">
        <v>18.25</v>
      </c>
      <c r="K430">
        <v>19324.47</v>
      </c>
      <c r="L430" t="s">
        <v>31</v>
      </c>
      <c r="M430" t="s">
        <v>44</v>
      </c>
      <c r="N430" s="12">
        <v>45148</v>
      </c>
      <c r="O430" t="s">
        <v>1078</v>
      </c>
      <c r="P430">
        <v>26</v>
      </c>
      <c r="Q430">
        <v>598</v>
      </c>
      <c r="R430" t="s">
        <v>46</v>
      </c>
      <c r="S430">
        <v>0</v>
      </c>
      <c r="T430" s="10" t="s">
        <v>1261</v>
      </c>
      <c r="U430" s="23">
        <f>COUNTIF(Table1[Loan_Status],"Defaulted")/COUNTA(Table1[Loan_ID])</f>
        <v>0.248</v>
      </c>
    </row>
    <row r="431" spans="1:21" x14ac:dyDescent="0.3">
      <c r="A431" t="s">
        <v>1079</v>
      </c>
      <c r="B431" t="s">
        <v>1080</v>
      </c>
      <c r="C431">
        <v>39</v>
      </c>
      <c r="D431" t="s">
        <v>21</v>
      </c>
      <c r="E431" t="s">
        <v>49</v>
      </c>
      <c r="F431" t="s">
        <v>23</v>
      </c>
      <c r="G431">
        <v>147538</v>
      </c>
      <c r="H431">
        <v>45297</v>
      </c>
      <c r="I431">
        <v>12</v>
      </c>
      <c r="J431">
        <v>18.05</v>
      </c>
      <c r="K431">
        <v>4153.91</v>
      </c>
      <c r="L431" t="s">
        <v>24</v>
      </c>
      <c r="M431" t="s">
        <v>32</v>
      </c>
      <c r="N431" s="12">
        <v>44843</v>
      </c>
      <c r="Q431">
        <v>563</v>
      </c>
      <c r="R431" t="s">
        <v>26</v>
      </c>
      <c r="S431">
        <v>4980.05</v>
      </c>
      <c r="T431" s="10" t="s">
        <v>1267</v>
      </c>
      <c r="U431" s="23">
        <f>COUNTIF(Table1[Loan_Status],"Defaulted")/COUNTA(Table1[Loan_ID])</f>
        <v>0.248</v>
      </c>
    </row>
    <row r="432" spans="1:21" x14ac:dyDescent="0.3">
      <c r="A432" t="s">
        <v>1081</v>
      </c>
      <c r="B432" t="s">
        <v>1082</v>
      </c>
      <c r="C432">
        <v>32</v>
      </c>
      <c r="D432" t="s">
        <v>29</v>
      </c>
      <c r="E432" t="s">
        <v>68</v>
      </c>
      <c r="F432" t="s">
        <v>35</v>
      </c>
      <c r="G432">
        <v>60979</v>
      </c>
      <c r="H432">
        <v>141971</v>
      </c>
      <c r="I432">
        <v>6</v>
      </c>
      <c r="J432">
        <v>23.64</v>
      </c>
      <c r="K432">
        <v>25319.83</v>
      </c>
      <c r="L432" t="s">
        <v>24</v>
      </c>
      <c r="M432" t="s">
        <v>25</v>
      </c>
      <c r="N432" s="12">
        <v>44913</v>
      </c>
      <c r="Q432">
        <v>386</v>
      </c>
      <c r="R432" t="s">
        <v>46</v>
      </c>
      <c r="S432">
        <v>0</v>
      </c>
      <c r="T432" s="10" t="s">
        <v>1280</v>
      </c>
      <c r="U432" s="23">
        <f>COUNTIF(Table1[Loan_Status],"Defaulted")/COUNTA(Table1[Loan_ID])</f>
        <v>0.248</v>
      </c>
    </row>
    <row r="433" spans="1:21" x14ac:dyDescent="0.3">
      <c r="A433" t="s">
        <v>1083</v>
      </c>
      <c r="B433" t="s">
        <v>1084</v>
      </c>
      <c r="C433">
        <v>52</v>
      </c>
      <c r="D433" t="s">
        <v>21</v>
      </c>
      <c r="E433" t="s">
        <v>68</v>
      </c>
      <c r="F433" t="s">
        <v>23</v>
      </c>
      <c r="G433">
        <v>130391</v>
      </c>
      <c r="H433">
        <v>385632</v>
      </c>
      <c r="I433">
        <v>6</v>
      </c>
      <c r="J433">
        <v>17.059999999999999</v>
      </c>
      <c r="K433">
        <v>67507.679999999993</v>
      </c>
      <c r="L433" t="s">
        <v>36</v>
      </c>
      <c r="M433" t="s">
        <v>25</v>
      </c>
      <c r="N433" s="12">
        <v>45219</v>
      </c>
      <c r="Q433">
        <v>570</v>
      </c>
      <c r="R433" t="s">
        <v>46</v>
      </c>
      <c r="S433">
        <v>0</v>
      </c>
      <c r="T433" s="10" t="s">
        <v>1279</v>
      </c>
      <c r="U433" s="23">
        <f>COUNTIF(Table1[Loan_Status],"Defaulted")/COUNTA(Table1[Loan_ID])</f>
        <v>0.248</v>
      </c>
    </row>
    <row r="434" spans="1:21" x14ac:dyDescent="0.3">
      <c r="A434" t="s">
        <v>1085</v>
      </c>
      <c r="B434" t="s">
        <v>1086</v>
      </c>
      <c r="C434">
        <v>24</v>
      </c>
      <c r="D434" t="s">
        <v>29</v>
      </c>
      <c r="E434" t="s">
        <v>68</v>
      </c>
      <c r="F434" t="s">
        <v>35</v>
      </c>
      <c r="G434">
        <v>139841</v>
      </c>
      <c r="H434">
        <v>163003</v>
      </c>
      <c r="I434">
        <v>18</v>
      </c>
      <c r="J434">
        <v>29.91</v>
      </c>
      <c r="K434">
        <v>11349.09</v>
      </c>
      <c r="L434" t="s">
        <v>24</v>
      </c>
      <c r="M434" t="s">
        <v>44</v>
      </c>
      <c r="N434" s="12">
        <v>44950</v>
      </c>
      <c r="O434" t="s">
        <v>758</v>
      </c>
      <c r="P434">
        <v>399</v>
      </c>
      <c r="Q434">
        <v>785</v>
      </c>
      <c r="R434" t="s">
        <v>46</v>
      </c>
      <c r="S434">
        <v>0</v>
      </c>
      <c r="T434" s="10" t="s">
        <v>1266</v>
      </c>
      <c r="U434" s="23">
        <f>COUNTIF(Table1[Loan_Status],"Defaulted")/COUNTA(Table1[Loan_ID])</f>
        <v>0.248</v>
      </c>
    </row>
    <row r="435" spans="1:21" x14ac:dyDescent="0.3">
      <c r="A435" t="s">
        <v>1087</v>
      </c>
      <c r="B435" t="s">
        <v>1088</v>
      </c>
      <c r="C435">
        <v>48</v>
      </c>
      <c r="D435" t="s">
        <v>29</v>
      </c>
      <c r="E435" t="s">
        <v>42</v>
      </c>
      <c r="F435" t="s">
        <v>35</v>
      </c>
      <c r="G435">
        <v>115140</v>
      </c>
      <c r="H435">
        <v>360725</v>
      </c>
      <c r="I435">
        <v>12</v>
      </c>
      <c r="J435">
        <v>35.08</v>
      </c>
      <c r="K435">
        <v>36073.53</v>
      </c>
      <c r="L435" t="s">
        <v>43</v>
      </c>
      <c r="M435" t="s">
        <v>25</v>
      </c>
      <c r="N435" s="12">
        <v>45106</v>
      </c>
      <c r="Q435">
        <v>662</v>
      </c>
      <c r="R435" t="s">
        <v>46</v>
      </c>
      <c r="S435">
        <v>0</v>
      </c>
      <c r="T435" s="10" t="s">
        <v>1276</v>
      </c>
      <c r="U435" s="23">
        <f>COUNTIF(Table1[Loan_Status],"Defaulted")/COUNTA(Table1[Loan_ID])</f>
        <v>0.248</v>
      </c>
    </row>
    <row r="436" spans="1:21" x14ac:dyDescent="0.3">
      <c r="A436" t="s">
        <v>1089</v>
      </c>
      <c r="B436" t="s">
        <v>1090</v>
      </c>
      <c r="C436">
        <v>38</v>
      </c>
      <c r="D436" t="s">
        <v>21</v>
      </c>
      <c r="E436" t="s">
        <v>42</v>
      </c>
      <c r="F436" t="s">
        <v>35</v>
      </c>
      <c r="G436">
        <v>40762</v>
      </c>
      <c r="H436">
        <v>138873</v>
      </c>
      <c r="I436">
        <v>24</v>
      </c>
      <c r="J436">
        <v>21.39</v>
      </c>
      <c r="K436">
        <v>7162.71</v>
      </c>
      <c r="L436" t="s">
        <v>39</v>
      </c>
      <c r="M436" t="s">
        <v>44</v>
      </c>
      <c r="N436" s="12">
        <v>45094</v>
      </c>
      <c r="O436" t="s">
        <v>719</v>
      </c>
      <c r="P436">
        <v>172</v>
      </c>
      <c r="Q436">
        <v>484</v>
      </c>
      <c r="R436" t="s">
        <v>46</v>
      </c>
      <c r="S436">
        <v>0</v>
      </c>
      <c r="T436" s="10" t="s">
        <v>1276</v>
      </c>
      <c r="U436" s="23">
        <f>COUNTIF(Table1[Loan_Status],"Defaulted")/COUNTA(Table1[Loan_ID])</f>
        <v>0.248</v>
      </c>
    </row>
    <row r="437" spans="1:21" x14ac:dyDescent="0.3">
      <c r="A437" t="s">
        <v>1091</v>
      </c>
      <c r="B437" t="s">
        <v>1092</v>
      </c>
      <c r="C437">
        <v>21</v>
      </c>
      <c r="D437" t="s">
        <v>29</v>
      </c>
      <c r="E437" t="s">
        <v>49</v>
      </c>
      <c r="F437" t="s">
        <v>35</v>
      </c>
      <c r="G437">
        <v>40611</v>
      </c>
      <c r="H437">
        <v>280389</v>
      </c>
      <c r="I437">
        <v>3</v>
      </c>
      <c r="J437">
        <v>28.45</v>
      </c>
      <c r="K437">
        <v>97929.31</v>
      </c>
      <c r="L437" t="s">
        <v>36</v>
      </c>
      <c r="M437" t="s">
        <v>44</v>
      </c>
      <c r="N437" s="12">
        <v>44852</v>
      </c>
      <c r="O437" t="s">
        <v>412</v>
      </c>
      <c r="P437">
        <v>257</v>
      </c>
      <c r="Q437">
        <v>497</v>
      </c>
      <c r="R437" t="s">
        <v>26</v>
      </c>
      <c r="S437">
        <v>0</v>
      </c>
      <c r="T437" s="10" t="s">
        <v>1267</v>
      </c>
      <c r="U437" s="23">
        <f>COUNTIF(Table1[Loan_Status],"Defaulted")/COUNTA(Table1[Loan_ID])</f>
        <v>0.248</v>
      </c>
    </row>
    <row r="438" spans="1:21" x14ac:dyDescent="0.3">
      <c r="A438" t="s">
        <v>1093</v>
      </c>
      <c r="B438" t="s">
        <v>776</v>
      </c>
      <c r="C438">
        <v>24</v>
      </c>
      <c r="D438" t="s">
        <v>29</v>
      </c>
      <c r="E438" t="s">
        <v>30</v>
      </c>
      <c r="F438" t="s">
        <v>23</v>
      </c>
      <c r="G438">
        <v>46451</v>
      </c>
      <c r="H438">
        <v>50291</v>
      </c>
      <c r="I438">
        <v>24</v>
      </c>
      <c r="J438">
        <v>15.12</v>
      </c>
      <c r="K438">
        <v>2441.31</v>
      </c>
      <c r="L438" t="s">
        <v>24</v>
      </c>
      <c r="M438" t="s">
        <v>44</v>
      </c>
      <c r="N438" s="12">
        <v>44675</v>
      </c>
      <c r="O438" t="s">
        <v>1094</v>
      </c>
      <c r="P438">
        <v>712</v>
      </c>
      <c r="Q438">
        <v>488</v>
      </c>
      <c r="R438" t="s">
        <v>46</v>
      </c>
      <c r="S438">
        <v>0</v>
      </c>
      <c r="T438" s="10" t="s">
        <v>1274</v>
      </c>
      <c r="U438" s="23">
        <f>COUNTIF(Table1[Loan_Status],"Defaulted")/COUNTA(Table1[Loan_ID])</f>
        <v>0.248</v>
      </c>
    </row>
    <row r="439" spans="1:21" x14ac:dyDescent="0.3">
      <c r="A439" t="s">
        <v>1095</v>
      </c>
      <c r="B439" t="s">
        <v>1096</v>
      </c>
      <c r="C439">
        <v>25</v>
      </c>
      <c r="D439" t="s">
        <v>21</v>
      </c>
      <c r="E439" t="s">
        <v>42</v>
      </c>
      <c r="F439" t="s">
        <v>35</v>
      </c>
      <c r="G439">
        <v>99778</v>
      </c>
      <c r="H439">
        <v>139918</v>
      </c>
      <c r="I439">
        <v>6</v>
      </c>
      <c r="J439">
        <v>30.74</v>
      </c>
      <c r="K439">
        <v>25454.52</v>
      </c>
      <c r="L439" t="s">
        <v>36</v>
      </c>
      <c r="M439" t="s">
        <v>25</v>
      </c>
      <c r="N439" s="12">
        <v>44953</v>
      </c>
      <c r="Q439">
        <v>697</v>
      </c>
      <c r="R439" t="s">
        <v>46</v>
      </c>
      <c r="S439">
        <v>0</v>
      </c>
      <c r="T439" s="10" t="s">
        <v>1266</v>
      </c>
      <c r="U439" s="23">
        <f>COUNTIF(Table1[Loan_Status],"Defaulted")/COUNTA(Table1[Loan_ID])</f>
        <v>0.248</v>
      </c>
    </row>
    <row r="440" spans="1:21" x14ac:dyDescent="0.3">
      <c r="A440" t="s">
        <v>1097</v>
      </c>
      <c r="B440" t="s">
        <v>1098</v>
      </c>
      <c r="C440">
        <v>37</v>
      </c>
      <c r="D440" t="s">
        <v>21</v>
      </c>
      <c r="E440" t="s">
        <v>22</v>
      </c>
      <c r="F440" t="s">
        <v>35</v>
      </c>
      <c r="G440">
        <v>33192</v>
      </c>
      <c r="H440">
        <v>262803</v>
      </c>
      <c r="I440">
        <v>6</v>
      </c>
      <c r="J440">
        <v>26.65</v>
      </c>
      <c r="K440">
        <v>47267.38</v>
      </c>
      <c r="L440" t="s">
        <v>39</v>
      </c>
      <c r="M440" t="s">
        <v>54</v>
      </c>
      <c r="N440" s="12">
        <v>44673</v>
      </c>
      <c r="O440" t="s">
        <v>509</v>
      </c>
      <c r="P440">
        <v>147</v>
      </c>
      <c r="Q440">
        <v>741</v>
      </c>
      <c r="R440" t="s">
        <v>26</v>
      </c>
      <c r="S440">
        <v>0</v>
      </c>
      <c r="T440" s="10" t="s">
        <v>1274</v>
      </c>
      <c r="U440" s="23">
        <f>COUNTIF(Table1[Loan_Status],"Defaulted")/COUNTA(Table1[Loan_ID])</f>
        <v>0.248</v>
      </c>
    </row>
    <row r="441" spans="1:21" x14ac:dyDescent="0.3">
      <c r="A441" t="s">
        <v>1099</v>
      </c>
      <c r="B441" t="s">
        <v>1100</v>
      </c>
      <c r="C441">
        <v>27</v>
      </c>
      <c r="D441" t="s">
        <v>21</v>
      </c>
      <c r="E441" t="s">
        <v>42</v>
      </c>
      <c r="F441" t="s">
        <v>23</v>
      </c>
      <c r="G441">
        <v>24138</v>
      </c>
      <c r="H441">
        <v>43230</v>
      </c>
      <c r="I441">
        <v>3</v>
      </c>
      <c r="J441">
        <v>25.71</v>
      </c>
      <c r="K441">
        <v>15031.83</v>
      </c>
      <c r="L441" t="s">
        <v>36</v>
      </c>
      <c r="M441" t="s">
        <v>54</v>
      </c>
      <c r="N441" s="12">
        <v>44581</v>
      </c>
      <c r="O441" t="s">
        <v>520</v>
      </c>
      <c r="P441">
        <v>509</v>
      </c>
      <c r="Q441">
        <v>452</v>
      </c>
      <c r="R441" t="s">
        <v>26</v>
      </c>
      <c r="S441">
        <v>0</v>
      </c>
      <c r="T441" s="10" t="s">
        <v>1262</v>
      </c>
      <c r="U441" s="23">
        <f>COUNTIF(Table1[Loan_Status],"Defaulted")/COUNTA(Table1[Loan_ID])</f>
        <v>0.248</v>
      </c>
    </row>
    <row r="442" spans="1:21" x14ac:dyDescent="0.3">
      <c r="A442" t="s">
        <v>1101</v>
      </c>
      <c r="B442" t="s">
        <v>1102</v>
      </c>
      <c r="C442">
        <v>23</v>
      </c>
      <c r="D442" t="s">
        <v>21</v>
      </c>
      <c r="E442" t="s">
        <v>42</v>
      </c>
      <c r="F442" t="s">
        <v>23</v>
      </c>
      <c r="G442">
        <v>101463</v>
      </c>
      <c r="H442">
        <v>479280</v>
      </c>
      <c r="I442">
        <v>18</v>
      </c>
      <c r="J442">
        <v>25.79</v>
      </c>
      <c r="K442">
        <v>32389.79</v>
      </c>
      <c r="L442" t="s">
        <v>24</v>
      </c>
      <c r="M442" t="s">
        <v>54</v>
      </c>
      <c r="N442" s="12">
        <v>45051</v>
      </c>
      <c r="O442" t="s">
        <v>806</v>
      </c>
      <c r="P442">
        <v>223</v>
      </c>
      <c r="Q442">
        <v>713</v>
      </c>
      <c r="R442" t="s">
        <v>26</v>
      </c>
      <c r="S442">
        <v>0</v>
      </c>
      <c r="T442" s="10" t="s">
        <v>1283</v>
      </c>
      <c r="U442" s="23">
        <f>COUNTIF(Table1[Loan_Status],"Defaulted")/COUNTA(Table1[Loan_ID])</f>
        <v>0.248</v>
      </c>
    </row>
    <row r="443" spans="1:21" x14ac:dyDescent="0.3">
      <c r="A443" t="s">
        <v>1103</v>
      </c>
      <c r="B443" t="s">
        <v>1104</v>
      </c>
      <c r="C443">
        <v>55</v>
      </c>
      <c r="D443" t="s">
        <v>29</v>
      </c>
      <c r="E443" t="s">
        <v>49</v>
      </c>
      <c r="F443" t="s">
        <v>35</v>
      </c>
      <c r="G443">
        <v>141370</v>
      </c>
      <c r="H443">
        <v>68545</v>
      </c>
      <c r="I443">
        <v>24</v>
      </c>
      <c r="J443">
        <v>24.85</v>
      </c>
      <c r="K443">
        <v>3653.19</v>
      </c>
      <c r="L443" t="s">
        <v>36</v>
      </c>
      <c r="M443" t="s">
        <v>32</v>
      </c>
      <c r="N443" s="12">
        <v>45260</v>
      </c>
      <c r="Q443">
        <v>610</v>
      </c>
      <c r="R443" t="s">
        <v>26</v>
      </c>
      <c r="S443">
        <v>26076.6</v>
      </c>
      <c r="T443" s="10" t="s">
        <v>1273</v>
      </c>
      <c r="U443" s="23">
        <f>COUNTIF(Table1[Loan_Status],"Defaulted")/COUNTA(Table1[Loan_ID])</f>
        <v>0.248</v>
      </c>
    </row>
    <row r="444" spans="1:21" x14ac:dyDescent="0.3">
      <c r="A444" t="s">
        <v>1105</v>
      </c>
      <c r="B444" t="s">
        <v>1106</v>
      </c>
      <c r="C444">
        <v>44</v>
      </c>
      <c r="D444" t="s">
        <v>21</v>
      </c>
      <c r="E444" t="s">
        <v>49</v>
      </c>
      <c r="F444" t="s">
        <v>35</v>
      </c>
      <c r="G444">
        <v>91010</v>
      </c>
      <c r="H444">
        <v>344629</v>
      </c>
      <c r="I444">
        <v>6</v>
      </c>
      <c r="J444">
        <v>16.239999999999998</v>
      </c>
      <c r="K444">
        <v>60189.29</v>
      </c>
      <c r="L444" t="s">
        <v>43</v>
      </c>
      <c r="M444" t="s">
        <v>54</v>
      </c>
      <c r="N444" s="12">
        <v>45238</v>
      </c>
      <c r="O444" t="s">
        <v>1107</v>
      </c>
      <c r="P444">
        <v>48</v>
      </c>
      <c r="Q444">
        <v>606</v>
      </c>
      <c r="R444" t="s">
        <v>26</v>
      </c>
      <c r="S444">
        <v>0</v>
      </c>
      <c r="T444" s="10" t="s">
        <v>1273</v>
      </c>
      <c r="U444" s="23">
        <f>COUNTIF(Table1[Loan_Status],"Defaulted")/COUNTA(Table1[Loan_ID])</f>
        <v>0.248</v>
      </c>
    </row>
    <row r="445" spans="1:21" x14ac:dyDescent="0.3">
      <c r="A445" t="s">
        <v>1108</v>
      </c>
      <c r="B445" t="s">
        <v>1109</v>
      </c>
      <c r="C445">
        <v>27</v>
      </c>
      <c r="D445" t="s">
        <v>21</v>
      </c>
      <c r="E445" t="s">
        <v>68</v>
      </c>
      <c r="F445" t="s">
        <v>23</v>
      </c>
      <c r="G445">
        <v>129814</v>
      </c>
      <c r="H445">
        <v>390521</v>
      </c>
      <c r="I445">
        <v>6</v>
      </c>
      <c r="J445">
        <v>15.36</v>
      </c>
      <c r="K445">
        <v>68033.63</v>
      </c>
      <c r="L445" t="s">
        <v>39</v>
      </c>
      <c r="M445" t="s">
        <v>25</v>
      </c>
      <c r="N445" s="12">
        <v>45169</v>
      </c>
      <c r="Q445">
        <v>544</v>
      </c>
      <c r="R445" t="s">
        <v>46</v>
      </c>
      <c r="S445">
        <v>0</v>
      </c>
      <c r="T445" s="10" t="s">
        <v>1261</v>
      </c>
      <c r="U445" s="23">
        <f>COUNTIF(Table1[Loan_Status],"Defaulted")/COUNTA(Table1[Loan_ID])</f>
        <v>0.248</v>
      </c>
    </row>
    <row r="446" spans="1:21" x14ac:dyDescent="0.3">
      <c r="A446" t="s">
        <v>1110</v>
      </c>
      <c r="B446" t="s">
        <v>1111</v>
      </c>
      <c r="C446">
        <v>55</v>
      </c>
      <c r="D446" t="s">
        <v>21</v>
      </c>
      <c r="E446" t="s">
        <v>68</v>
      </c>
      <c r="F446" t="s">
        <v>35</v>
      </c>
      <c r="G446">
        <v>19303</v>
      </c>
      <c r="H446">
        <v>24421</v>
      </c>
      <c r="I446">
        <v>12</v>
      </c>
      <c r="J446">
        <v>13.35</v>
      </c>
      <c r="K446">
        <v>2185.23</v>
      </c>
      <c r="L446" t="s">
        <v>43</v>
      </c>
      <c r="M446" t="s">
        <v>54</v>
      </c>
      <c r="N446" s="12">
        <v>44683</v>
      </c>
      <c r="O446" t="s">
        <v>1112</v>
      </c>
      <c r="P446">
        <v>216</v>
      </c>
      <c r="Q446">
        <v>835</v>
      </c>
      <c r="R446" t="s">
        <v>26</v>
      </c>
      <c r="S446">
        <v>0</v>
      </c>
      <c r="T446" s="10" t="s">
        <v>1272</v>
      </c>
      <c r="U446" s="23">
        <f>COUNTIF(Table1[Loan_Status],"Defaulted")/COUNTA(Table1[Loan_ID])</f>
        <v>0.248</v>
      </c>
    </row>
    <row r="447" spans="1:21" x14ac:dyDescent="0.3">
      <c r="A447" t="s">
        <v>1113</v>
      </c>
      <c r="B447" t="s">
        <v>1114</v>
      </c>
      <c r="C447">
        <v>55</v>
      </c>
      <c r="D447" t="s">
        <v>29</v>
      </c>
      <c r="E447" t="s">
        <v>30</v>
      </c>
      <c r="F447" t="s">
        <v>23</v>
      </c>
      <c r="G447">
        <v>33883</v>
      </c>
      <c r="H447">
        <v>24334</v>
      </c>
      <c r="I447">
        <v>6</v>
      </c>
      <c r="J447">
        <v>23.73</v>
      </c>
      <c r="K447">
        <v>4340.95</v>
      </c>
      <c r="L447" t="s">
        <v>43</v>
      </c>
      <c r="M447" t="s">
        <v>54</v>
      </c>
      <c r="N447" s="12">
        <v>45195</v>
      </c>
      <c r="O447" t="s">
        <v>787</v>
      </c>
      <c r="P447">
        <v>23</v>
      </c>
      <c r="Q447">
        <v>548</v>
      </c>
      <c r="R447" t="s">
        <v>26</v>
      </c>
      <c r="S447">
        <v>0</v>
      </c>
      <c r="T447" s="10" t="s">
        <v>1284</v>
      </c>
      <c r="U447" s="23">
        <f>COUNTIF(Table1[Loan_Status],"Defaulted")/COUNTA(Table1[Loan_ID])</f>
        <v>0.248</v>
      </c>
    </row>
    <row r="448" spans="1:21" x14ac:dyDescent="0.3">
      <c r="A448" t="s">
        <v>1115</v>
      </c>
      <c r="B448" t="s">
        <v>1116</v>
      </c>
      <c r="C448">
        <v>21</v>
      </c>
      <c r="D448" t="s">
        <v>29</v>
      </c>
      <c r="E448" t="s">
        <v>49</v>
      </c>
      <c r="F448" t="s">
        <v>35</v>
      </c>
      <c r="G448">
        <v>40504</v>
      </c>
      <c r="H448">
        <v>244172</v>
      </c>
      <c r="I448">
        <v>24</v>
      </c>
      <c r="J448">
        <v>16.100000000000001</v>
      </c>
      <c r="K448">
        <v>11967.09</v>
      </c>
      <c r="L448" t="s">
        <v>24</v>
      </c>
      <c r="M448" t="s">
        <v>25</v>
      </c>
      <c r="N448" s="12">
        <v>44670</v>
      </c>
      <c r="Q448">
        <v>416</v>
      </c>
      <c r="R448" t="s">
        <v>46</v>
      </c>
      <c r="S448">
        <v>0</v>
      </c>
      <c r="T448" s="10" t="s">
        <v>1274</v>
      </c>
      <c r="U448" s="23">
        <f>COUNTIF(Table1[Loan_Status],"Defaulted")/COUNTA(Table1[Loan_ID])</f>
        <v>0.248</v>
      </c>
    </row>
    <row r="449" spans="1:21" x14ac:dyDescent="0.3">
      <c r="A449" t="s">
        <v>1117</v>
      </c>
      <c r="B449" t="s">
        <v>1118</v>
      </c>
      <c r="C449">
        <v>25</v>
      </c>
      <c r="D449" t="s">
        <v>29</v>
      </c>
      <c r="E449" t="s">
        <v>68</v>
      </c>
      <c r="F449" t="s">
        <v>35</v>
      </c>
      <c r="G449">
        <v>120384</v>
      </c>
      <c r="H449">
        <v>174992</v>
      </c>
      <c r="I449">
        <v>3</v>
      </c>
      <c r="J449">
        <v>35.42</v>
      </c>
      <c r="K449">
        <v>61807.51</v>
      </c>
      <c r="L449" t="s">
        <v>24</v>
      </c>
      <c r="M449" t="s">
        <v>44</v>
      </c>
      <c r="N449" s="12">
        <v>44891</v>
      </c>
      <c r="O449" t="s">
        <v>412</v>
      </c>
      <c r="P449">
        <v>218</v>
      </c>
      <c r="Q449">
        <v>346</v>
      </c>
      <c r="R449" t="s">
        <v>46</v>
      </c>
      <c r="S449">
        <v>0</v>
      </c>
      <c r="T449" s="10" t="s">
        <v>1269</v>
      </c>
      <c r="U449" s="23">
        <f>COUNTIF(Table1[Loan_Status],"Defaulted")/COUNTA(Table1[Loan_ID])</f>
        <v>0.248</v>
      </c>
    </row>
    <row r="450" spans="1:21" x14ac:dyDescent="0.3">
      <c r="A450" t="s">
        <v>1119</v>
      </c>
      <c r="B450" t="s">
        <v>1120</v>
      </c>
      <c r="C450">
        <v>25</v>
      </c>
      <c r="D450" t="s">
        <v>29</v>
      </c>
      <c r="E450" t="s">
        <v>42</v>
      </c>
      <c r="F450" t="s">
        <v>23</v>
      </c>
      <c r="G450">
        <v>123830</v>
      </c>
      <c r="H450">
        <v>93107</v>
      </c>
      <c r="I450">
        <v>12</v>
      </c>
      <c r="J450">
        <v>25.28</v>
      </c>
      <c r="K450">
        <v>8861.94</v>
      </c>
      <c r="L450" t="s">
        <v>31</v>
      </c>
      <c r="M450" t="s">
        <v>44</v>
      </c>
      <c r="N450" s="12">
        <v>45157</v>
      </c>
      <c r="O450" t="s">
        <v>1121</v>
      </c>
      <c r="P450">
        <v>20</v>
      </c>
      <c r="Q450">
        <v>436</v>
      </c>
      <c r="R450" t="s">
        <v>26</v>
      </c>
      <c r="S450">
        <v>0</v>
      </c>
      <c r="T450" s="10" t="s">
        <v>1261</v>
      </c>
      <c r="U450" s="23">
        <f>COUNTIF(Table1[Loan_Status],"Defaulted")/COUNTA(Table1[Loan_ID])</f>
        <v>0.248</v>
      </c>
    </row>
    <row r="451" spans="1:21" x14ac:dyDescent="0.3">
      <c r="A451" t="s">
        <v>1122</v>
      </c>
      <c r="B451" t="s">
        <v>1123</v>
      </c>
      <c r="C451">
        <v>31</v>
      </c>
      <c r="D451" t="s">
        <v>29</v>
      </c>
      <c r="E451" t="s">
        <v>68</v>
      </c>
      <c r="F451" t="s">
        <v>23</v>
      </c>
      <c r="G451">
        <v>16664</v>
      </c>
      <c r="H451">
        <v>8787</v>
      </c>
      <c r="I451">
        <v>6</v>
      </c>
      <c r="J451">
        <v>34.229999999999997</v>
      </c>
      <c r="K451">
        <v>1614.14</v>
      </c>
      <c r="L451" t="s">
        <v>24</v>
      </c>
      <c r="M451" t="s">
        <v>32</v>
      </c>
      <c r="N451" s="12">
        <v>44988</v>
      </c>
      <c r="Q451">
        <v>787</v>
      </c>
      <c r="R451" t="s">
        <v>26</v>
      </c>
      <c r="S451">
        <v>5137.33</v>
      </c>
      <c r="T451" s="10" t="s">
        <v>1271</v>
      </c>
      <c r="U451" s="23">
        <f>COUNTIF(Table1[Loan_Status],"Defaulted")/COUNTA(Table1[Loan_ID])</f>
        <v>0.248</v>
      </c>
    </row>
    <row r="452" spans="1:21" x14ac:dyDescent="0.3">
      <c r="A452" t="s">
        <v>1124</v>
      </c>
      <c r="B452" t="s">
        <v>1125</v>
      </c>
      <c r="C452">
        <v>30</v>
      </c>
      <c r="D452" t="s">
        <v>21</v>
      </c>
      <c r="E452" t="s">
        <v>30</v>
      </c>
      <c r="F452" t="s">
        <v>35</v>
      </c>
      <c r="G452">
        <v>123011</v>
      </c>
      <c r="H452">
        <v>130437</v>
      </c>
      <c r="I452">
        <v>6</v>
      </c>
      <c r="J452">
        <v>26.65</v>
      </c>
      <c r="K452">
        <v>23460.21</v>
      </c>
      <c r="L452" t="s">
        <v>43</v>
      </c>
      <c r="M452" t="s">
        <v>44</v>
      </c>
      <c r="N452" s="12">
        <v>45073</v>
      </c>
      <c r="O452" t="s">
        <v>1126</v>
      </c>
      <c r="P452">
        <v>313</v>
      </c>
      <c r="Q452">
        <v>390</v>
      </c>
      <c r="R452" t="s">
        <v>46</v>
      </c>
      <c r="S452">
        <v>0</v>
      </c>
      <c r="T452" s="10" t="s">
        <v>1283</v>
      </c>
      <c r="U452" s="23">
        <f>COUNTIF(Table1[Loan_Status],"Defaulted")/COUNTA(Table1[Loan_ID])</f>
        <v>0.248</v>
      </c>
    </row>
    <row r="453" spans="1:21" x14ac:dyDescent="0.3">
      <c r="A453" t="s">
        <v>1127</v>
      </c>
      <c r="B453" t="s">
        <v>1128</v>
      </c>
      <c r="C453">
        <v>43</v>
      </c>
      <c r="D453" t="s">
        <v>21</v>
      </c>
      <c r="E453" t="s">
        <v>49</v>
      </c>
      <c r="F453" t="s">
        <v>23</v>
      </c>
      <c r="G453">
        <v>65306</v>
      </c>
      <c r="H453">
        <v>66607</v>
      </c>
      <c r="I453">
        <v>24</v>
      </c>
      <c r="J453">
        <v>35.44</v>
      </c>
      <c r="K453">
        <v>3913.23</v>
      </c>
      <c r="L453" t="s">
        <v>24</v>
      </c>
      <c r="M453" t="s">
        <v>32</v>
      </c>
      <c r="N453" s="12">
        <v>45114</v>
      </c>
      <c r="Q453">
        <v>819</v>
      </c>
      <c r="R453" t="s">
        <v>26</v>
      </c>
      <c r="S453">
        <v>16884.43</v>
      </c>
      <c r="T453" s="10" t="s">
        <v>1265</v>
      </c>
      <c r="U453" s="23">
        <f>COUNTIF(Table1[Loan_Status],"Defaulted")/COUNTA(Table1[Loan_ID])</f>
        <v>0.248</v>
      </c>
    </row>
    <row r="454" spans="1:21" x14ac:dyDescent="0.3">
      <c r="A454" t="s">
        <v>1129</v>
      </c>
      <c r="B454" t="s">
        <v>1130</v>
      </c>
      <c r="C454">
        <v>38</v>
      </c>
      <c r="D454" t="s">
        <v>29</v>
      </c>
      <c r="E454" t="s">
        <v>22</v>
      </c>
      <c r="F454" t="s">
        <v>23</v>
      </c>
      <c r="G454">
        <v>54116</v>
      </c>
      <c r="H454">
        <v>364265</v>
      </c>
      <c r="I454">
        <v>18</v>
      </c>
      <c r="J454">
        <v>23.94</v>
      </c>
      <c r="K454">
        <v>24286.560000000001</v>
      </c>
      <c r="L454" t="s">
        <v>39</v>
      </c>
      <c r="M454" t="s">
        <v>25</v>
      </c>
      <c r="N454" s="12">
        <v>44617</v>
      </c>
      <c r="Q454">
        <v>672</v>
      </c>
      <c r="R454" t="s">
        <v>46</v>
      </c>
      <c r="S454">
        <v>0</v>
      </c>
      <c r="T454" s="10" t="s">
        <v>1263</v>
      </c>
      <c r="U454" s="23">
        <f>COUNTIF(Table1[Loan_Status],"Defaulted")/COUNTA(Table1[Loan_ID])</f>
        <v>0.248</v>
      </c>
    </row>
    <row r="455" spans="1:21" x14ac:dyDescent="0.3">
      <c r="A455" t="s">
        <v>1131</v>
      </c>
      <c r="B455" t="s">
        <v>1132</v>
      </c>
      <c r="C455">
        <v>37</v>
      </c>
      <c r="D455" t="s">
        <v>21</v>
      </c>
      <c r="E455" t="s">
        <v>30</v>
      </c>
      <c r="F455" t="s">
        <v>35</v>
      </c>
      <c r="G455">
        <v>26355</v>
      </c>
      <c r="H455">
        <v>59746</v>
      </c>
      <c r="I455">
        <v>3</v>
      </c>
      <c r="J455">
        <v>34.200000000000003</v>
      </c>
      <c r="K455">
        <v>21061.14</v>
      </c>
      <c r="L455" t="s">
        <v>39</v>
      </c>
      <c r="M455" t="s">
        <v>44</v>
      </c>
      <c r="N455" s="12">
        <v>44591</v>
      </c>
      <c r="O455" t="s">
        <v>349</v>
      </c>
      <c r="P455">
        <v>496</v>
      </c>
      <c r="Q455">
        <v>827</v>
      </c>
      <c r="R455" t="s">
        <v>26</v>
      </c>
      <c r="S455">
        <v>0</v>
      </c>
      <c r="T455" s="10" t="s">
        <v>1262</v>
      </c>
      <c r="U455" s="23">
        <f>COUNTIF(Table1[Loan_Status],"Defaulted")/COUNTA(Table1[Loan_ID])</f>
        <v>0.248</v>
      </c>
    </row>
    <row r="456" spans="1:21" x14ac:dyDescent="0.3">
      <c r="A456" t="s">
        <v>1133</v>
      </c>
      <c r="B456" t="s">
        <v>1134</v>
      </c>
      <c r="C456">
        <v>49</v>
      </c>
      <c r="D456" t="s">
        <v>21</v>
      </c>
      <c r="E456" t="s">
        <v>68</v>
      </c>
      <c r="F456" t="s">
        <v>23</v>
      </c>
      <c r="G456">
        <v>100376</v>
      </c>
      <c r="H456">
        <v>125619</v>
      </c>
      <c r="I456">
        <v>3</v>
      </c>
      <c r="J456">
        <v>19.829999999999998</v>
      </c>
      <c r="K456">
        <v>43264.46</v>
      </c>
      <c r="L456" t="s">
        <v>43</v>
      </c>
      <c r="M456" t="s">
        <v>44</v>
      </c>
      <c r="N456" s="12">
        <v>44984</v>
      </c>
      <c r="O456" t="s">
        <v>205</v>
      </c>
      <c r="P456">
        <v>445</v>
      </c>
      <c r="Q456">
        <v>504</v>
      </c>
      <c r="R456" t="s">
        <v>46</v>
      </c>
      <c r="S456">
        <v>0</v>
      </c>
      <c r="T456" s="10" t="s">
        <v>1277</v>
      </c>
      <c r="U456" s="23">
        <f>COUNTIF(Table1[Loan_Status],"Defaulted")/COUNTA(Table1[Loan_ID])</f>
        <v>0.248</v>
      </c>
    </row>
    <row r="457" spans="1:21" x14ac:dyDescent="0.3">
      <c r="A457" t="s">
        <v>1135</v>
      </c>
      <c r="B457" t="s">
        <v>1136</v>
      </c>
      <c r="C457">
        <v>25</v>
      </c>
      <c r="D457" t="s">
        <v>21</v>
      </c>
      <c r="E457" t="s">
        <v>30</v>
      </c>
      <c r="F457" t="s">
        <v>35</v>
      </c>
      <c r="G457">
        <v>29244</v>
      </c>
      <c r="H457">
        <v>471872</v>
      </c>
      <c r="I457">
        <v>18</v>
      </c>
      <c r="J457">
        <v>15.48</v>
      </c>
      <c r="K457">
        <v>29544.34</v>
      </c>
      <c r="L457" t="s">
        <v>24</v>
      </c>
      <c r="M457" t="s">
        <v>54</v>
      </c>
      <c r="N457" s="12">
        <v>44744</v>
      </c>
      <c r="O457" t="s">
        <v>840</v>
      </c>
      <c r="P457">
        <v>396</v>
      </c>
      <c r="Q457">
        <v>682</v>
      </c>
      <c r="R457" t="s">
        <v>26</v>
      </c>
      <c r="S457">
        <v>0</v>
      </c>
      <c r="T457" s="10" t="s">
        <v>1281</v>
      </c>
      <c r="U457" s="23">
        <f>COUNTIF(Table1[Loan_Status],"Defaulted")/COUNTA(Table1[Loan_ID])</f>
        <v>0.248</v>
      </c>
    </row>
    <row r="458" spans="1:21" x14ac:dyDescent="0.3">
      <c r="A458" t="s">
        <v>1137</v>
      </c>
      <c r="B458" t="s">
        <v>1138</v>
      </c>
      <c r="C458">
        <v>50</v>
      </c>
      <c r="D458" t="s">
        <v>29</v>
      </c>
      <c r="E458" t="s">
        <v>42</v>
      </c>
      <c r="F458" t="s">
        <v>35</v>
      </c>
      <c r="G458">
        <v>68008</v>
      </c>
      <c r="H458">
        <v>181103</v>
      </c>
      <c r="I458">
        <v>6</v>
      </c>
      <c r="J458">
        <v>12.77</v>
      </c>
      <c r="K458">
        <v>31317.97</v>
      </c>
      <c r="L458" t="s">
        <v>24</v>
      </c>
      <c r="M458" t="s">
        <v>25</v>
      </c>
      <c r="N458" s="12">
        <v>44849</v>
      </c>
      <c r="Q458">
        <v>439</v>
      </c>
      <c r="R458" t="s">
        <v>26</v>
      </c>
      <c r="S458">
        <v>0</v>
      </c>
      <c r="T458" s="10" t="s">
        <v>1267</v>
      </c>
      <c r="U458" s="23">
        <f>COUNTIF(Table1[Loan_Status],"Defaulted")/COUNTA(Table1[Loan_ID])</f>
        <v>0.248</v>
      </c>
    </row>
    <row r="459" spans="1:21" x14ac:dyDescent="0.3">
      <c r="A459" t="s">
        <v>1139</v>
      </c>
      <c r="B459" t="s">
        <v>1140</v>
      </c>
      <c r="C459">
        <v>50</v>
      </c>
      <c r="D459" t="s">
        <v>21</v>
      </c>
      <c r="E459" t="s">
        <v>22</v>
      </c>
      <c r="F459" t="s">
        <v>35</v>
      </c>
      <c r="G459">
        <v>72633</v>
      </c>
      <c r="H459">
        <v>469733</v>
      </c>
      <c r="I459">
        <v>12</v>
      </c>
      <c r="J459">
        <v>26.49</v>
      </c>
      <c r="K459">
        <v>44985.73</v>
      </c>
      <c r="L459" t="s">
        <v>24</v>
      </c>
      <c r="M459" t="s">
        <v>44</v>
      </c>
      <c r="N459" s="12">
        <v>45153</v>
      </c>
      <c r="O459" t="s">
        <v>1141</v>
      </c>
      <c r="P459">
        <v>283</v>
      </c>
      <c r="Q459">
        <v>535</v>
      </c>
      <c r="R459" t="s">
        <v>26</v>
      </c>
      <c r="S459">
        <v>0</v>
      </c>
      <c r="T459" s="10" t="s">
        <v>1261</v>
      </c>
      <c r="U459" s="23">
        <f>COUNTIF(Table1[Loan_Status],"Defaulted")/COUNTA(Table1[Loan_ID])</f>
        <v>0.248</v>
      </c>
    </row>
    <row r="460" spans="1:21" x14ac:dyDescent="0.3">
      <c r="A460" t="s">
        <v>1142</v>
      </c>
      <c r="B460" t="s">
        <v>1143</v>
      </c>
      <c r="C460">
        <v>52</v>
      </c>
      <c r="D460" t="s">
        <v>29</v>
      </c>
      <c r="E460" t="s">
        <v>30</v>
      </c>
      <c r="F460" t="s">
        <v>35</v>
      </c>
      <c r="G460">
        <v>136310</v>
      </c>
      <c r="H460">
        <v>151365</v>
      </c>
      <c r="I460">
        <v>3</v>
      </c>
      <c r="J460">
        <v>29.52</v>
      </c>
      <c r="K460">
        <v>52957.49</v>
      </c>
      <c r="L460" t="s">
        <v>39</v>
      </c>
      <c r="M460" t="s">
        <v>44</v>
      </c>
      <c r="N460" s="12">
        <v>44897</v>
      </c>
      <c r="O460" t="s">
        <v>1144</v>
      </c>
      <c r="P460">
        <v>444</v>
      </c>
      <c r="Q460">
        <v>527</v>
      </c>
      <c r="R460" t="s">
        <v>46</v>
      </c>
      <c r="S460">
        <v>0</v>
      </c>
      <c r="T460" s="10" t="s">
        <v>1280</v>
      </c>
      <c r="U460" s="23">
        <f>COUNTIF(Table1[Loan_Status],"Defaulted")/COUNTA(Table1[Loan_ID])</f>
        <v>0.248</v>
      </c>
    </row>
    <row r="461" spans="1:21" x14ac:dyDescent="0.3">
      <c r="A461" t="s">
        <v>1145</v>
      </c>
      <c r="B461" t="s">
        <v>1146</v>
      </c>
      <c r="C461">
        <v>21</v>
      </c>
      <c r="D461" t="s">
        <v>21</v>
      </c>
      <c r="E461" t="s">
        <v>49</v>
      </c>
      <c r="F461" t="s">
        <v>23</v>
      </c>
      <c r="G461">
        <v>138378</v>
      </c>
      <c r="H461">
        <v>389552</v>
      </c>
      <c r="I461">
        <v>24</v>
      </c>
      <c r="J461">
        <v>12.81</v>
      </c>
      <c r="K461">
        <v>18485.27</v>
      </c>
      <c r="L461" t="s">
        <v>24</v>
      </c>
      <c r="M461" t="s">
        <v>54</v>
      </c>
      <c r="N461" s="12">
        <v>45052</v>
      </c>
      <c r="O461" t="s">
        <v>1147</v>
      </c>
      <c r="P461">
        <v>414</v>
      </c>
      <c r="Q461">
        <v>400</v>
      </c>
      <c r="R461" t="s">
        <v>26</v>
      </c>
      <c r="S461">
        <v>0</v>
      </c>
      <c r="T461" s="10" t="s">
        <v>1283</v>
      </c>
      <c r="U461" s="23">
        <f>COUNTIF(Table1[Loan_Status],"Defaulted")/COUNTA(Table1[Loan_ID])</f>
        <v>0.248</v>
      </c>
    </row>
    <row r="462" spans="1:21" x14ac:dyDescent="0.3">
      <c r="A462" t="s">
        <v>1148</v>
      </c>
      <c r="B462" t="s">
        <v>1149</v>
      </c>
      <c r="C462">
        <v>52</v>
      </c>
      <c r="D462" t="s">
        <v>29</v>
      </c>
      <c r="E462" t="s">
        <v>49</v>
      </c>
      <c r="F462" t="s">
        <v>23</v>
      </c>
      <c r="G462">
        <v>121592</v>
      </c>
      <c r="H462">
        <v>119298</v>
      </c>
      <c r="I462">
        <v>6</v>
      </c>
      <c r="J462">
        <v>20.6</v>
      </c>
      <c r="K462">
        <v>21094.58</v>
      </c>
      <c r="L462" t="s">
        <v>39</v>
      </c>
      <c r="M462" t="s">
        <v>25</v>
      </c>
      <c r="N462" s="12">
        <v>44578</v>
      </c>
      <c r="Q462">
        <v>791</v>
      </c>
      <c r="R462" t="s">
        <v>46</v>
      </c>
      <c r="S462">
        <v>0</v>
      </c>
      <c r="T462" s="10" t="s">
        <v>1262</v>
      </c>
      <c r="U462" s="23">
        <f>COUNTIF(Table1[Loan_Status],"Defaulted")/COUNTA(Table1[Loan_ID])</f>
        <v>0.248</v>
      </c>
    </row>
    <row r="463" spans="1:21" x14ac:dyDescent="0.3">
      <c r="A463" t="s">
        <v>1150</v>
      </c>
      <c r="B463" t="s">
        <v>1151</v>
      </c>
      <c r="C463">
        <v>50</v>
      </c>
      <c r="D463" t="s">
        <v>29</v>
      </c>
      <c r="E463" t="s">
        <v>68</v>
      </c>
      <c r="F463" t="s">
        <v>35</v>
      </c>
      <c r="G463">
        <v>51339</v>
      </c>
      <c r="H463">
        <v>463332</v>
      </c>
      <c r="I463">
        <v>18</v>
      </c>
      <c r="J463">
        <v>16.440000000000001</v>
      </c>
      <c r="K463">
        <v>29219.84</v>
      </c>
      <c r="L463" t="s">
        <v>36</v>
      </c>
      <c r="M463" t="s">
        <v>54</v>
      </c>
      <c r="N463" s="12">
        <v>45282</v>
      </c>
      <c r="O463" t="s">
        <v>1152</v>
      </c>
      <c r="P463">
        <v>162</v>
      </c>
      <c r="Q463">
        <v>301</v>
      </c>
      <c r="R463" t="s">
        <v>26</v>
      </c>
      <c r="S463">
        <v>0</v>
      </c>
      <c r="T463" s="10" t="s">
        <v>1282</v>
      </c>
      <c r="U463" s="23">
        <f>COUNTIF(Table1[Loan_Status],"Defaulted")/COUNTA(Table1[Loan_ID])</f>
        <v>0.248</v>
      </c>
    </row>
    <row r="464" spans="1:21" x14ac:dyDescent="0.3">
      <c r="A464" t="s">
        <v>1153</v>
      </c>
      <c r="B464" t="s">
        <v>1154</v>
      </c>
      <c r="C464">
        <v>45</v>
      </c>
      <c r="D464" t="s">
        <v>21</v>
      </c>
      <c r="E464" t="s">
        <v>30</v>
      </c>
      <c r="F464" t="s">
        <v>23</v>
      </c>
      <c r="G464">
        <v>92749</v>
      </c>
      <c r="H464">
        <v>228295</v>
      </c>
      <c r="I464">
        <v>12</v>
      </c>
      <c r="J464">
        <v>28.75</v>
      </c>
      <c r="K464">
        <v>22115.69</v>
      </c>
      <c r="L464" t="s">
        <v>24</v>
      </c>
      <c r="M464" t="s">
        <v>44</v>
      </c>
      <c r="N464" s="12">
        <v>45263</v>
      </c>
      <c r="O464" t="s">
        <v>1037</v>
      </c>
      <c r="P464">
        <v>20</v>
      </c>
      <c r="Q464">
        <v>643</v>
      </c>
      <c r="R464" t="s">
        <v>46</v>
      </c>
      <c r="S464">
        <v>0</v>
      </c>
      <c r="T464" s="10" t="s">
        <v>1282</v>
      </c>
      <c r="U464" s="23">
        <f>COUNTIF(Table1[Loan_Status],"Defaulted")/COUNTA(Table1[Loan_ID])</f>
        <v>0.248</v>
      </c>
    </row>
    <row r="465" spans="1:21" x14ac:dyDescent="0.3">
      <c r="A465" t="s">
        <v>1155</v>
      </c>
      <c r="B465" t="s">
        <v>1156</v>
      </c>
      <c r="C465">
        <v>53</v>
      </c>
      <c r="D465" t="s">
        <v>21</v>
      </c>
      <c r="E465" t="s">
        <v>49</v>
      </c>
      <c r="F465" t="s">
        <v>23</v>
      </c>
      <c r="G465">
        <v>115389</v>
      </c>
      <c r="H465">
        <v>196674</v>
      </c>
      <c r="I465">
        <v>18</v>
      </c>
      <c r="J465">
        <v>26.86</v>
      </c>
      <c r="K465">
        <v>13395.07</v>
      </c>
      <c r="L465" t="s">
        <v>36</v>
      </c>
      <c r="M465" t="s">
        <v>32</v>
      </c>
      <c r="N465" s="12">
        <v>44741</v>
      </c>
      <c r="Q465">
        <v>368</v>
      </c>
      <c r="R465" t="s">
        <v>26</v>
      </c>
      <c r="S465">
        <v>96867.99</v>
      </c>
      <c r="T465" s="10" t="s">
        <v>1268</v>
      </c>
      <c r="U465" s="23">
        <f>COUNTIF(Table1[Loan_Status],"Defaulted")/COUNTA(Table1[Loan_ID])</f>
        <v>0.248</v>
      </c>
    </row>
    <row r="466" spans="1:21" x14ac:dyDescent="0.3">
      <c r="A466" t="s">
        <v>1157</v>
      </c>
      <c r="B466" t="s">
        <v>1158</v>
      </c>
      <c r="C466">
        <v>29</v>
      </c>
      <c r="D466" t="s">
        <v>21</v>
      </c>
      <c r="E466" t="s">
        <v>22</v>
      </c>
      <c r="F466" t="s">
        <v>23</v>
      </c>
      <c r="G466">
        <v>140434</v>
      </c>
      <c r="H466">
        <v>391599</v>
      </c>
      <c r="I466">
        <v>24</v>
      </c>
      <c r="J466">
        <v>32.909999999999997</v>
      </c>
      <c r="K466">
        <v>22486.25</v>
      </c>
      <c r="L466" t="s">
        <v>39</v>
      </c>
      <c r="M466" t="s">
        <v>44</v>
      </c>
      <c r="N466" s="12">
        <v>44890</v>
      </c>
      <c r="O466" t="s">
        <v>1159</v>
      </c>
      <c r="P466">
        <v>361</v>
      </c>
      <c r="Q466">
        <v>573</v>
      </c>
      <c r="R466" t="s">
        <v>46</v>
      </c>
      <c r="S466">
        <v>0</v>
      </c>
      <c r="T466" s="10" t="s">
        <v>1269</v>
      </c>
      <c r="U466" s="23">
        <f>COUNTIF(Table1[Loan_Status],"Defaulted")/COUNTA(Table1[Loan_ID])</f>
        <v>0.248</v>
      </c>
    </row>
    <row r="467" spans="1:21" x14ac:dyDescent="0.3">
      <c r="A467" t="s">
        <v>1160</v>
      </c>
      <c r="B467" t="s">
        <v>1161</v>
      </c>
      <c r="C467">
        <v>38</v>
      </c>
      <c r="D467" t="s">
        <v>29</v>
      </c>
      <c r="E467" t="s">
        <v>49</v>
      </c>
      <c r="F467" t="s">
        <v>35</v>
      </c>
      <c r="G467">
        <v>105499</v>
      </c>
      <c r="H467">
        <v>242193</v>
      </c>
      <c r="I467">
        <v>18</v>
      </c>
      <c r="J467">
        <v>24.03</v>
      </c>
      <c r="K467">
        <v>16158.33</v>
      </c>
      <c r="L467" t="s">
        <v>43</v>
      </c>
      <c r="M467" t="s">
        <v>54</v>
      </c>
      <c r="N467" s="12">
        <v>45288</v>
      </c>
      <c r="O467" t="s">
        <v>613</v>
      </c>
      <c r="P467">
        <v>136</v>
      </c>
      <c r="Q467">
        <v>845</v>
      </c>
      <c r="R467" t="s">
        <v>26</v>
      </c>
      <c r="S467">
        <v>0</v>
      </c>
      <c r="T467" s="10" t="s">
        <v>1282</v>
      </c>
      <c r="U467" s="23">
        <f>COUNTIF(Table1[Loan_Status],"Defaulted")/COUNTA(Table1[Loan_ID])</f>
        <v>0.248</v>
      </c>
    </row>
    <row r="468" spans="1:21" x14ac:dyDescent="0.3">
      <c r="A468" t="s">
        <v>1162</v>
      </c>
      <c r="B468" t="s">
        <v>1163</v>
      </c>
      <c r="C468">
        <v>49</v>
      </c>
      <c r="D468" t="s">
        <v>21</v>
      </c>
      <c r="E468" t="s">
        <v>49</v>
      </c>
      <c r="F468" t="s">
        <v>23</v>
      </c>
      <c r="G468">
        <v>135028</v>
      </c>
      <c r="H468">
        <v>50774</v>
      </c>
      <c r="I468">
        <v>3</v>
      </c>
      <c r="J468">
        <v>21.38</v>
      </c>
      <c r="K468">
        <v>17531.3</v>
      </c>
      <c r="L468" t="s">
        <v>39</v>
      </c>
      <c r="M468" t="s">
        <v>32</v>
      </c>
      <c r="N468" s="12">
        <v>44640</v>
      </c>
      <c r="Q468">
        <v>411</v>
      </c>
      <c r="R468" t="s">
        <v>26</v>
      </c>
      <c r="S468">
        <v>10933.49</v>
      </c>
      <c r="T468" s="10" t="s">
        <v>1264</v>
      </c>
      <c r="U468" s="23">
        <f>COUNTIF(Table1[Loan_Status],"Defaulted")/COUNTA(Table1[Loan_ID])</f>
        <v>0.248</v>
      </c>
    </row>
    <row r="469" spans="1:21" x14ac:dyDescent="0.3">
      <c r="A469" t="s">
        <v>1164</v>
      </c>
      <c r="B469" t="s">
        <v>1165</v>
      </c>
      <c r="C469">
        <v>30</v>
      </c>
      <c r="D469" t="s">
        <v>21</v>
      </c>
      <c r="E469" t="s">
        <v>22</v>
      </c>
      <c r="F469" t="s">
        <v>23</v>
      </c>
      <c r="G469">
        <v>20948</v>
      </c>
      <c r="H469">
        <v>158705</v>
      </c>
      <c r="I469">
        <v>18</v>
      </c>
      <c r="J469">
        <v>35.270000000000003</v>
      </c>
      <c r="K469">
        <v>11479.97</v>
      </c>
      <c r="L469" t="s">
        <v>24</v>
      </c>
      <c r="M469" t="s">
        <v>44</v>
      </c>
      <c r="N469" s="12">
        <v>45047</v>
      </c>
      <c r="O469" t="s">
        <v>680</v>
      </c>
      <c r="P469">
        <v>177</v>
      </c>
      <c r="Q469">
        <v>730</v>
      </c>
      <c r="R469" t="s">
        <v>46</v>
      </c>
      <c r="S469">
        <v>0</v>
      </c>
      <c r="T469" s="10" t="s">
        <v>1283</v>
      </c>
      <c r="U469" s="23">
        <f>COUNTIF(Table1[Loan_Status],"Defaulted")/COUNTA(Table1[Loan_ID])</f>
        <v>0.248</v>
      </c>
    </row>
    <row r="470" spans="1:21" x14ac:dyDescent="0.3">
      <c r="A470" t="s">
        <v>1166</v>
      </c>
      <c r="B470" t="s">
        <v>1167</v>
      </c>
      <c r="C470">
        <v>39</v>
      </c>
      <c r="D470" t="s">
        <v>29</v>
      </c>
      <c r="E470" t="s">
        <v>49</v>
      </c>
      <c r="F470" t="s">
        <v>23</v>
      </c>
      <c r="G470">
        <v>75903</v>
      </c>
      <c r="H470">
        <v>442752</v>
      </c>
      <c r="I470">
        <v>24</v>
      </c>
      <c r="J470">
        <v>27.47</v>
      </c>
      <c r="K470">
        <v>24182.58</v>
      </c>
      <c r="L470" t="s">
        <v>31</v>
      </c>
      <c r="M470" t="s">
        <v>32</v>
      </c>
      <c r="N470" s="12">
        <v>45233</v>
      </c>
      <c r="Q470">
        <v>634</v>
      </c>
      <c r="R470" t="s">
        <v>26</v>
      </c>
      <c r="S470">
        <v>194945.42</v>
      </c>
      <c r="T470" s="10" t="s">
        <v>1273</v>
      </c>
      <c r="U470" s="23">
        <f>COUNTIF(Table1[Loan_Status],"Defaulted")/COUNTA(Table1[Loan_ID])</f>
        <v>0.248</v>
      </c>
    </row>
    <row r="471" spans="1:21" x14ac:dyDescent="0.3">
      <c r="A471" t="s">
        <v>1168</v>
      </c>
      <c r="B471" t="s">
        <v>1169</v>
      </c>
      <c r="C471">
        <v>49</v>
      </c>
      <c r="D471" t="s">
        <v>21</v>
      </c>
      <c r="E471" t="s">
        <v>42</v>
      </c>
      <c r="F471" t="s">
        <v>23</v>
      </c>
      <c r="G471">
        <v>95345</v>
      </c>
      <c r="H471">
        <v>95039</v>
      </c>
      <c r="I471">
        <v>12</v>
      </c>
      <c r="J471">
        <v>17.440000000000001</v>
      </c>
      <c r="K471">
        <v>8687.8700000000008</v>
      </c>
      <c r="L471" t="s">
        <v>36</v>
      </c>
      <c r="M471" t="s">
        <v>32</v>
      </c>
      <c r="N471" s="12">
        <v>44610</v>
      </c>
      <c r="Q471">
        <v>451</v>
      </c>
      <c r="R471" t="s">
        <v>26</v>
      </c>
      <c r="S471">
        <v>32996.080000000002</v>
      </c>
      <c r="T471" s="10" t="s">
        <v>1263</v>
      </c>
      <c r="U471" s="23">
        <f>COUNTIF(Table1[Loan_Status],"Defaulted")/COUNTA(Table1[Loan_ID])</f>
        <v>0.248</v>
      </c>
    </row>
    <row r="472" spans="1:21" x14ac:dyDescent="0.3">
      <c r="A472" t="s">
        <v>1170</v>
      </c>
      <c r="B472" t="s">
        <v>1171</v>
      </c>
      <c r="C472">
        <v>31</v>
      </c>
      <c r="D472" t="s">
        <v>29</v>
      </c>
      <c r="E472" t="s">
        <v>30</v>
      </c>
      <c r="F472" t="s">
        <v>35</v>
      </c>
      <c r="G472">
        <v>62783</v>
      </c>
      <c r="H472">
        <v>96938</v>
      </c>
      <c r="I472">
        <v>6</v>
      </c>
      <c r="J472">
        <v>15.87</v>
      </c>
      <c r="K472">
        <v>16912.36</v>
      </c>
      <c r="L472" t="s">
        <v>43</v>
      </c>
      <c r="M472" t="s">
        <v>25</v>
      </c>
      <c r="N472" s="12">
        <v>44886</v>
      </c>
      <c r="Q472">
        <v>429</v>
      </c>
      <c r="R472" t="s">
        <v>46</v>
      </c>
      <c r="S472">
        <v>0</v>
      </c>
      <c r="T472" s="10" t="s">
        <v>1269</v>
      </c>
      <c r="U472" s="23">
        <f>COUNTIF(Table1[Loan_Status],"Defaulted")/COUNTA(Table1[Loan_ID])</f>
        <v>0.248</v>
      </c>
    </row>
    <row r="473" spans="1:21" x14ac:dyDescent="0.3">
      <c r="A473" t="s">
        <v>1172</v>
      </c>
      <c r="B473" t="s">
        <v>1173</v>
      </c>
      <c r="C473">
        <v>32</v>
      </c>
      <c r="D473" t="s">
        <v>29</v>
      </c>
      <c r="E473" t="s">
        <v>30</v>
      </c>
      <c r="F473" t="s">
        <v>23</v>
      </c>
      <c r="G473">
        <v>98084</v>
      </c>
      <c r="H473">
        <v>185274</v>
      </c>
      <c r="I473">
        <v>6</v>
      </c>
      <c r="J473">
        <v>20.95</v>
      </c>
      <c r="K473">
        <v>32793.040000000001</v>
      </c>
      <c r="L473" t="s">
        <v>24</v>
      </c>
      <c r="M473" t="s">
        <v>44</v>
      </c>
      <c r="N473" s="12">
        <v>45108</v>
      </c>
      <c r="O473" t="s">
        <v>730</v>
      </c>
      <c r="P473">
        <v>154</v>
      </c>
      <c r="Q473">
        <v>424</v>
      </c>
      <c r="R473" t="s">
        <v>46</v>
      </c>
      <c r="S473">
        <v>0</v>
      </c>
      <c r="T473" s="10" t="s">
        <v>1265</v>
      </c>
      <c r="U473" s="23">
        <f>COUNTIF(Table1[Loan_Status],"Defaulted")/COUNTA(Table1[Loan_ID])</f>
        <v>0.248</v>
      </c>
    </row>
    <row r="474" spans="1:21" x14ac:dyDescent="0.3">
      <c r="A474" t="s">
        <v>1174</v>
      </c>
      <c r="B474" t="s">
        <v>1175</v>
      </c>
      <c r="C474">
        <v>52</v>
      </c>
      <c r="D474" t="s">
        <v>29</v>
      </c>
      <c r="E474" t="s">
        <v>68</v>
      </c>
      <c r="F474" t="s">
        <v>35</v>
      </c>
      <c r="G474">
        <v>55908</v>
      </c>
      <c r="H474">
        <v>7251</v>
      </c>
      <c r="I474">
        <v>24</v>
      </c>
      <c r="J474">
        <v>35.409999999999997</v>
      </c>
      <c r="K474">
        <v>425.89</v>
      </c>
      <c r="L474" t="s">
        <v>36</v>
      </c>
      <c r="M474" t="s">
        <v>32</v>
      </c>
      <c r="N474" s="12">
        <v>45047</v>
      </c>
      <c r="Q474">
        <v>596</v>
      </c>
      <c r="R474" t="s">
        <v>26</v>
      </c>
      <c r="S474">
        <v>5646.53</v>
      </c>
      <c r="T474" s="10" t="s">
        <v>1283</v>
      </c>
      <c r="U474" s="23">
        <f>COUNTIF(Table1[Loan_Status],"Defaulted")/COUNTA(Table1[Loan_ID])</f>
        <v>0.248</v>
      </c>
    </row>
    <row r="475" spans="1:21" x14ac:dyDescent="0.3">
      <c r="A475" t="s">
        <v>1176</v>
      </c>
      <c r="B475" t="s">
        <v>1177</v>
      </c>
      <c r="C475">
        <v>49</v>
      </c>
      <c r="D475" t="s">
        <v>21</v>
      </c>
      <c r="E475" t="s">
        <v>49</v>
      </c>
      <c r="F475" t="s">
        <v>35</v>
      </c>
      <c r="G475">
        <v>25506</v>
      </c>
      <c r="H475">
        <v>78097</v>
      </c>
      <c r="I475">
        <v>24</v>
      </c>
      <c r="J475">
        <v>14.81</v>
      </c>
      <c r="K475">
        <v>3779.62</v>
      </c>
      <c r="L475" t="s">
        <v>43</v>
      </c>
      <c r="M475" t="s">
        <v>54</v>
      </c>
      <c r="N475" s="12">
        <v>45194</v>
      </c>
      <c r="O475" t="s">
        <v>1178</v>
      </c>
      <c r="P475">
        <v>112</v>
      </c>
      <c r="Q475">
        <v>756</v>
      </c>
      <c r="R475" t="s">
        <v>26</v>
      </c>
      <c r="S475">
        <v>0</v>
      </c>
      <c r="T475" s="10" t="s">
        <v>1284</v>
      </c>
      <c r="U475" s="23">
        <f>COUNTIF(Table1[Loan_Status],"Defaulted")/COUNTA(Table1[Loan_ID])</f>
        <v>0.248</v>
      </c>
    </row>
    <row r="476" spans="1:21" x14ac:dyDescent="0.3">
      <c r="A476" t="s">
        <v>1179</v>
      </c>
      <c r="B476" t="s">
        <v>1180</v>
      </c>
      <c r="C476">
        <v>26</v>
      </c>
      <c r="D476" t="s">
        <v>21</v>
      </c>
      <c r="E476" t="s">
        <v>49</v>
      </c>
      <c r="F476" t="s">
        <v>23</v>
      </c>
      <c r="G476">
        <v>73233</v>
      </c>
      <c r="H476">
        <v>414617</v>
      </c>
      <c r="I476">
        <v>12</v>
      </c>
      <c r="J476">
        <v>16.7</v>
      </c>
      <c r="K476">
        <v>37756.04</v>
      </c>
      <c r="L476" t="s">
        <v>43</v>
      </c>
      <c r="M476" t="s">
        <v>54</v>
      </c>
      <c r="N476" s="12">
        <v>45255</v>
      </c>
      <c r="O476" t="s">
        <v>1181</v>
      </c>
      <c r="P476">
        <v>171</v>
      </c>
      <c r="Q476">
        <v>389</v>
      </c>
      <c r="R476" t="s">
        <v>26</v>
      </c>
      <c r="S476">
        <v>0</v>
      </c>
      <c r="T476" s="10" t="s">
        <v>1273</v>
      </c>
      <c r="U476" s="23">
        <f>COUNTIF(Table1[Loan_Status],"Defaulted")/COUNTA(Table1[Loan_ID])</f>
        <v>0.248</v>
      </c>
    </row>
    <row r="477" spans="1:21" x14ac:dyDescent="0.3">
      <c r="A477" t="s">
        <v>1182</v>
      </c>
      <c r="B477" t="s">
        <v>1183</v>
      </c>
      <c r="C477">
        <v>46</v>
      </c>
      <c r="D477" t="s">
        <v>29</v>
      </c>
      <c r="E477" t="s">
        <v>68</v>
      </c>
      <c r="F477" t="s">
        <v>35</v>
      </c>
      <c r="G477">
        <v>149101</v>
      </c>
      <c r="H477">
        <v>499614</v>
      </c>
      <c r="I477">
        <v>3</v>
      </c>
      <c r="J477">
        <v>33.799999999999997</v>
      </c>
      <c r="K477">
        <v>176006.49</v>
      </c>
      <c r="L477" t="s">
        <v>36</v>
      </c>
      <c r="M477" t="s">
        <v>54</v>
      </c>
      <c r="N477" s="12">
        <v>44713</v>
      </c>
      <c r="O477" t="s">
        <v>886</v>
      </c>
      <c r="P477">
        <v>733</v>
      </c>
      <c r="Q477">
        <v>737</v>
      </c>
      <c r="R477" t="s">
        <v>26</v>
      </c>
      <c r="S477">
        <v>0</v>
      </c>
      <c r="T477" s="10" t="s">
        <v>1268</v>
      </c>
      <c r="U477" s="23">
        <f>COUNTIF(Table1[Loan_Status],"Defaulted")/COUNTA(Table1[Loan_ID])</f>
        <v>0.248</v>
      </c>
    </row>
    <row r="478" spans="1:21" x14ac:dyDescent="0.3">
      <c r="A478" t="s">
        <v>1184</v>
      </c>
      <c r="B478" t="s">
        <v>1173</v>
      </c>
      <c r="C478">
        <v>45</v>
      </c>
      <c r="D478" t="s">
        <v>21</v>
      </c>
      <c r="E478" t="s">
        <v>49</v>
      </c>
      <c r="F478" t="s">
        <v>35</v>
      </c>
      <c r="G478">
        <v>105418</v>
      </c>
      <c r="H478">
        <v>189211</v>
      </c>
      <c r="I478">
        <v>12</v>
      </c>
      <c r="J478">
        <v>35.46</v>
      </c>
      <c r="K478">
        <v>18957.509999999998</v>
      </c>
      <c r="L478" t="s">
        <v>24</v>
      </c>
      <c r="M478" t="s">
        <v>25</v>
      </c>
      <c r="N478" s="12">
        <v>44782</v>
      </c>
      <c r="Q478">
        <v>754</v>
      </c>
      <c r="R478" t="s">
        <v>46</v>
      </c>
      <c r="S478">
        <v>0</v>
      </c>
      <c r="T478" s="10" t="s">
        <v>1275</v>
      </c>
      <c r="U478" s="23">
        <f>COUNTIF(Table1[Loan_Status],"Defaulted")/COUNTA(Table1[Loan_ID])</f>
        <v>0.248</v>
      </c>
    </row>
    <row r="479" spans="1:21" x14ac:dyDescent="0.3">
      <c r="A479" t="s">
        <v>1185</v>
      </c>
      <c r="B479" t="s">
        <v>1186</v>
      </c>
      <c r="C479">
        <v>49</v>
      </c>
      <c r="D479" t="s">
        <v>21</v>
      </c>
      <c r="E479" t="s">
        <v>22</v>
      </c>
      <c r="F479" t="s">
        <v>35</v>
      </c>
      <c r="G479">
        <v>123578</v>
      </c>
      <c r="H479">
        <v>78173</v>
      </c>
      <c r="I479">
        <v>24</v>
      </c>
      <c r="J479">
        <v>26.35</v>
      </c>
      <c r="K479">
        <v>4225.3500000000004</v>
      </c>
      <c r="L479" t="s">
        <v>39</v>
      </c>
      <c r="M479" t="s">
        <v>44</v>
      </c>
      <c r="N479" s="12">
        <v>44872</v>
      </c>
      <c r="O479" t="s">
        <v>1187</v>
      </c>
      <c r="P479">
        <v>486</v>
      </c>
      <c r="Q479">
        <v>837</v>
      </c>
      <c r="R479" t="s">
        <v>46</v>
      </c>
      <c r="S479">
        <v>0</v>
      </c>
      <c r="T479" s="10" t="s">
        <v>1269</v>
      </c>
      <c r="U479" s="23">
        <f>COUNTIF(Table1[Loan_Status],"Defaulted")/COUNTA(Table1[Loan_ID])</f>
        <v>0.248</v>
      </c>
    </row>
    <row r="480" spans="1:21" x14ac:dyDescent="0.3">
      <c r="A480" t="s">
        <v>1188</v>
      </c>
      <c r="B480" t="s">
        <v>1189</v>
      </c>
      <c r="C480">
        <v>45</v>
      </c>
      <c r="D480" t="s">
        <v>29</v>
      </c>
      <c r="E480" t="s">
        <v>49</v>
      </c>
      <c r="F480" t="s">
        <v>35</v>
      </c>
      <c r="G480">
        <v>86651</v>
      </c>
      <c r="H480">
        <v>222324</v>
      </c>
      <c r="I480">
        <v>6</v>
      </c>
      <c r="J480">
        <v>25.34</v>
      </c>
      <c r="K480">
        <v>39840.28</v>
      </c>
      <c r="L480" t="s">
        <v>24</v>
      </c>
      <c r="M480" t="s">
        <v>44</v>
      </c>
      <c r="N480" s="12">
        <v>44766</v>
      </c>
      <c r="O480" t="s">
        <v>59</v>
      </c>
      <c r="P480">
        <v>190</v>
      </c>
      <c r="Q480">
        <v>690</v>
      </c>
      <c r="R480" t="s">
        <v>46</v>
      </c>
      <c r="S480">
        <v>0</v>
      </c>
      <c r="T480" s="10" t="s">
        <v>1281</v>
      </c>
      <c r="U480" s="23">
        <f>COUNTIF(Table1[Loan_Status],"Defaulted")/COUNTA(Table1[Loan_ID])</f>
        <v>0.248</v>
      </c>
    </row>
    <row r="481" spans="1:21" x14ac:dyDescent="0.3">
      <c r="A481" t="s">
        <v>1190</v>
      </c>
      <c r="B481" t="s">
        <v>1191</v>
      </c>
      <c r="C481">
        <v>23</v>
      </c>
      <c r="D481" t="s">
        <v>21</v>
      </c>
      <c r="E481" t="s">
        <v>30</v>
      </c>
      <c r="F481" t="s">
        <v>35</v>
      </c>
      <c r="G481">
        <v>144525</v>
      </c>
      <c r="H481">
        <v>298224</v>
      </c>
      <c r="I481">
        <v>18</v>
      </c>
      <c r="J481">
        <v>17.39</v>
      </c>
      <c r="K481">
        <v>18941.810000000001</v>
      </c>
      <c r="L481" t="s">
        <v>43</v>
      </c>
      <c r="M481" t="s">
        <v>44</v>
      </c>
      <c r="N481" s="12">
        <v>44830</v>
      </c>
      <c r="O481" t="s">
        <v>1192</v>
      </c>
      <c r="P481">
        <v>307</v>
      </c>
      <c r="Q481">
        <v>783</v>
      </c>
      <c r="R481" t="s">
        <v>26</v>
      </c>
      <c r="S481">
        <v>0</v>
      </c>
      <c r="T481" s="10" t="s">
        <v>1270</v>
      </c>
      <c r="U481" s="23">
        <f>COUNTIF(Table1[Loan_Status],"Defaulted")/COUNTA(Table1[Loan_ID])</f>
        <v>0.248</v>
      </c>
    </row>
    <row r="482" spans="1:21" x14ac:dyDescent="0.3">
      <c r="A482" t="s">
        <v>1193</v>
      </c>
      <c r="B482" t="s">
        <v>1194</v>
      </c>
      <c r="C482">
        <v>47</v>
      </c>
      <c r="D482" t="s">
        <v>29</v>
      </c>
      <c r="E482" t="s">
        <v>68</v>
      </c>
      <c r="F482" t="s">
        <v>23</v>
      </c>
      <c r="G482">
        <v>22456</v>
      </c>
      <c r="H482">
        <v>67576</v>
      </c>
      <c r="I482">
        <v>12</v>
      </c>
      <c r="J482">
        <v>23.83</v>
      </c>
      <c r="K482">
        <v>6384.4</v>
      </c>
      <c r="L482" t="s">
        <v>43</v>
      </c>
      <c r="M482" t="s">
        <v>32</v>
      </c>
      <c r="N482" s="12">
        <v>45157</v>
      </c>
      <c r="Q482">
        <v>792</v>
      </c>
      <c r="R482" t="s">
        <v>26</v>
      </c>
      <c r="S482">
        <v>33511.089999999997</v>
      </c>
      <c r="T482" s="10" t="s">
        <v>1261</v>
      </c>
      <c r="U482" s="23">
        <f>COUNTIF(Table1[Loan_Status],"Defaulted")/COUNTA(Table1[Loan_ID])</f>
        <v>0.248</v>
      </c>
    </row>
    <row r="483" spans="1:21" x14ac:dyDescent="0.3">
      <c r="A483" t="s">
        <v>1195</v>
      </c>
      <c r="B483" t="s">
        <v>1196</v>
      </c>
      <c r="C483">
        <v>51</v>
      </c>
      <c r="D483" t="s">
        <v>29</v>
      </c>
      <c r="E483" t="s">
        <v>42</v>
      </c>
      <c r="F483" t="s">
        <v>23</v>
      </c>
      <c r="G483">
        <v>83036</v>
      </c>
      <c r="H483">
        <v>90378</v>
      </c>
      <c r="I483">
        <v>24</v>
      </c>
      <c r="J483">
        <v>13.4</v>
      </c>
      <c r="K483">
        <v>4313.7299999999996</v>
      </c>
      <c r="L483" t="s">
        <v>36</v>
      </c>
      <c r="M483" t="s">
        <v>54</v>
      </c>
      <c r="N483" s="12">
        <v>45271</v>
      </c>
      <c r="O483" t="s">
        <v>1197</v>
      </c>
      <c r="P483">
        <v>34</v>
      </c>
      <c r="Q483">
        <v>665</v>
      </c>
      <c r="R483" t="s">
        <v>26</v>
      </c>
      <c r="S483">
        <v>0</v>
      </c>
      <c r="T483" s="10" t="s">
        <v>1282</v>
      </c>
      <c r="U483" s="23">
        <f>COUNTIF(Table1[Loan_Status],"Defaulted")/COUNTA(Table1[Loan_ID])</f>
        <v>0.248</v>
      </c>
    </row>
    <row r="484" spans="1:21" x14ac:dyDescent="0.3">
      <c r="A484" t="s">
        <v>1198</v>
      </c>
      <c r="B484" t="s">
        <v>1199</v>
      </c>
      <c r="C484">
        <v>24</v>
      </c>
      <c r="D484" t="s">
        <v>21</v>
      </c>
      <c r="E484" t="s">
        <v>42</v>
      </c>
      <c r="F484" t="s">
        <v>35</v>
      </c>
      <c r="G484">
        <v>108319</v>
      </c>
      <c r="H484">
        <v>30540</v>
      </c>
      <c r="I484">
        <v>12</v>
      </c>
      <c r="J484">
        <v>19</v>
      </c>
      <c r="K484">
        <v>2814.46</v>
      </c>
      <c r="L484" t="s">
        <v>43</v>
      </c>
      <c r="M484" t="s">
        <v>44</v>
      </c>
      <c r="N484" s="12">
        <v>45205</v>
      </c>
      <c r="O484" t="s">
        <v>1200</v>
      </c>
      <c r="P484">
        <v>93</v>
      </c>
      <c r="Q484">
        <v>396</v>
      </c>
      <c r="R484" t="s">
        <v>46</v>
      </c>
      <c r="S484">
        <v>0</v>
      </c>
      <c r="T484" s="10" t="s">
        <v>1279</v>
      </c>
      <c r="U484" s="23">
        <f>COUNTIF(Table1[Loan_Status],"Defaulted")/COUNTA(Table1[Loan_ID])</f>
        <v>0.248</v>
      </c>
    </row>
    <row r="485" spans="1:21" x14ac:dyDescent="0.3">
      <c r="A485" t="s">
        <v>1201</v>
      </c>
      <c r="B485" t="s">
        <v>660</v>
      </c>
      <c r="C485">
        <v>55</v>
      </c>
      <c r="D485" t="s">
        <v>21</v>
      </c>
      <c r="E485" t="s">
        <v>42</v>
      </c>
      <c r="F485" t="s">
        <v>35</v>
      </c>
      <c r="G485">
        <v>86161</v>
      </c>
      <c r="H485">
        <v>364369</v>
      </c>
      <c r="I485">
        <v>12</v>
      </c>
      <c r="J485">
        <v>14.3</v>
      </c>
      <c r="K485">
        <v>32767.1</v>
      </c>
      <c r="L485" t="s">
        <v>24</v>
      </c>
      <c r="M485" t="s">
        <v>32</v>
      </c>
      <c r="N485" s="12">
        <v>44709</v>
      </c>
      <c r="Q485">
        <v>313</v>
      </c>
      <c r="R485" t="s">
        <v>26</v>
      </c>
      <c r="S485">
        <v>71366.990000000005</v>
      </c>
      <c r="T485" s="10" t="s">
        <v>1272</v>
      </c>
      <c r="U485" s="23">
        <f>COUNTIF(Table1[Loan_Status],"Defaulted")/COUNTA(Table1[Loan_ID])</f>
        <v>0.248</v>
      </c>
    </row>
    <row r="486" spans="1:21" x14ac:dyDescent="0.3">
      <c r="A486" t="s">
        <v>1202</v>
      </c>
      <c r="B486" t="s">
        <v>1203</v>
      </c>
      <c r="C486">
        <v>44</v>
      </c>
      <c r="D486" t="s">
        <v>21</v>
      </c>
      <c r="E486" t="s">
        <v>68</v>
      </c>
      <c r="F486" t="s">
        <v>35</v>
      </c>
      <c r="G486">
        <v>57737</v>
      </c>
      <c r="H486">
        <v>58696</v>
      </c>
      <c r="I486">
        <v>6</v>
      </c>
      <c r="J486">
        <v>15.71</v>
      </c>
      <c r="K486">
        <v>10235.77</v>
      </c>
      <c r="L486" t="s">
        <v>39</v>
      </c>
      <c r="M486" t="s">
        <v>44</v>
      </c>
      <c r="N486" s="12">
        <v>45134</v>
      </c>
      <c r="O486" t="s">
        <v>714</v>
      </c>
      <c r="P486">
        <v>314</v>
      </c>
      <c r="Q486">
        <v>838</v>
      </c>
      <c r="R486" t="s">
        <v>46</v>
      </c>
      <c r="S486">
        <v>0</v>
      </c>
      <c r="T486" s="10" t="s">
        <v>1265</v>
      </c>
      <c r="U486" s="23">
        <f>COUNTIF(Table1[Loan_Status],"Defaulted")/COUNTA(Table1[Loan_ID])</f>
        <v>0.248</v>
      </c>
    </row>
    <row r="487" spans="1:21" x14ac:dyDescent="0.3">
      <c r="A487" t="s">
        <v>1204</v>
      </c>
      <c r="B487" t="s">
        <v>1205</v>
      </c>
      <c r="C487">
        <v>47</v>
      </c>
      <c r="D487" t="s">
        <v>21</v>
      </c>
      <c r="E487" t="s">
        <v>49</v>
      </c>
      <c r="F487" t="s">
        <v>23</v>
      </c>
      <c r="G487">
        <v>49401</v>
      </c>
      <c r="H487">
        <v>489132</v>
      </c>
      <c r="I487">
        <v>3</v>
      </c>
      <c r="J487">
        <v>23.51</v>
      </c>
      <c r="K487">
        <v>169473.92000000001</v>
      </c>
      <c r="L487" t="s">
        <v>36</v>
      </c>
      <c r="M487" t="s">
        <v>32</v>
      </c>
      <c r="N487" s="12">
        <v>44704</v>
      </c>
      <c r="Q487">
        <v>752</v>
      </c>
      <c r="R487" t="s">
        <v>26</v>
      </c>
      <c r="S487">
        <v>353548.75</v>
      </c>
      <c r="T487" s="10" t="s">
        <v>1272</v>
      </c>
      <c r="U487" s="23">
        <f>COUNTIF(Table1[Loan_Status],"Defaulted")/COUNTA(Table1[Loan_ID])</f>
        <v>0.248</v>
      </c>
    </row>
    <row r="488" spans="1:21" x14ac:dyDescent="0.3">
      <c r="A488" t="s">
        <v>1206</v>
      </c>
      <c r="B488" t="s">
        <v>1207</v>
      </c>
      <c r="C488">
        <v>42</v>
      </c>
      <c r="D488" t="s">
        <v>29</v>
      </c>
      <c r="E488" t="s">
        <v>42</v>
      </c>
      <c r="F488" t="s">
        <v>23</v>
      </c>
      <c r="G488">
        <v>46089</v>
      </c>
      <c r="H488">
        <v>121579</v>
      </c>
      <c r="I488">
        <v>6</v>
      </c>
      <c r="J488">
        <v>32.56</v>
      </c>
      <c r="K488">
        <v>22230.400000000001</v>
      </c>
      <c r="L488" t="s">
        <v>39</v>
      </c>
      <c r="M488" t="s">
        <v>44</v>
      </c>
      <c r="N488" s="12">
        <v>44876</v>
      </c>
      <c r="O488" t="s">
        <v>1208</v>
      </c>
      <c r="P488">
        <v>128</v>
      </c>
      <c r="Q488">
        <v>514</v>
      </c>
      <c r="R488" t="s">
        <v>26</v>
      </c>
      <c r="S488">
        <v>0</v>
      </c>
      <c r="T488" s="10" t="s">
        <v>1269</v>
      </c>
      <c r="U488" s="23">
        <f>COUNTIF(Table1[Loan_Status],"Defaulted")/COUNTA(Table1[Loan_ID])</f>
        <v>0.248</v>
      </c>
    </row>
    <row r="489" spans="1:21" x14ac:dyDescent="0.3">
      <c r="A489" t="s">
        <v>1209</v>
      </c>
      <c r="B489" t="s">
        <v>1210</v>
      </c>
      <c r="C489">
        <v>48</v>
      </c>
      <c r="D489" t="s">
        <v>29</v>
      </c>
      <c r="E489" t="s">
        <v>49</v>
      </c>
      <c r="F489" t="s">
        <v>23</v>
      </c>
      <c r="G489">
        <v>141944</v>
      </c>
      <c r="H489">
        <v>402061</v>
      </c>
      <c r="I489">
        <v>18</v>
      </c>
      <c r="J489">
        <v>13.02</v>
      </c>
      <c r="K489">
        <v>24709.43</v>
      </c>
      <c r="L489" t="s">
        <v>43</v>
      </c>
      <c r="M489" t="s">
        <v>25</v>
      </c>
      <c r="N489" s="12">
        <v>45237</v>
      </c>
      <c r="Q489">
        <v>825</v>
      </c>
      <c r="R489" t="s">
        <v>46</v>
      </c>
      <c r="S489">
        <v>0</v>
      </c>
      <c r="T489" s="10" t="s">
        <v>1273</v>
      </c>
      <c r="U489" s="23">
        <f>COUNTIF(Table1[Loan_Status],"Defaulted")/COUNTA(Table1[Loan_ID])</f>
        <v>0.248</v>
      </c>
    </row>
    <row r="490" spans="1:21" x14ac:dyDescent="0.3">
      <c r="A490" t="s">
        <v>1211</v>
      </c>
      <c r="B490" t="s">
        <v>1212</v>
      </c>
      <c r="C490">
        <v>28</v>
      </c>
      <c r="D490" t="s">
        <v>21</v>
      </c>
      <c r="E490" t="s">
        <v>49</v>
      </c>
      <c r="F490" t="s">
        <v>23</v>
      </c>
      <c r="G490">
        <v>94074</v>
      </c>
      <c r="H490">
        <v>355007</v>
      </c>
      <c r="I490">
        <v>3</v>
      </c>
      <c r="J490">
        <v>30.11</v>
      </c>
      <c r="K490">
        <v>124323.2</v>
      </c>
      <c r="L490" t="s">
        <v>43</v>
      </c>
      <c r="M490" t="s">
        <v>44</v>
      </c>
      <c r="N490" s="12">
        <v>45163</v>
      </c>
      <c r="O490" t="s">
        <v>1032</v>
      </c>
      <c r="P490">
        <v>102</v>
      </c>
      <c r="Q490">
        <v>489</v>
      </c>
      <c r="R490" t="s">
        <v>46</v>
      </c>
      <c r="S490">
        <v>0</v>
      </c>
      <c r="T490" s="10" t="s">
        <v>1261</v>
      </c>
      <c r="U490" s="23">
        <f>COUNTIF(Table1[Loan_Status],"Defaulted")/COUNTA(Table1[Loan_ID])</f>
        <v>0.248</v>
      </c>
    </row>
    <row r="491" spans="1:21" x14ac:dyDescent="0.3">
      <c r="A491" t="s">
        <v>1213</v>
      </c>
      <c r="B491" t="s">
        <v>1214</v>
      </c>
      <c r="C491">
        <v>26</v>
      </c>
      <c r="D491" t="s">
        <v>29</v>
      </c>
      <c r="E491" t="s">
        <v>42</v>
      </c>
      <c r="F491" t="s">
        <v>35</v>
      </c>
      <c r="G491">
        <v>107327</v>
      </c>
      <c r="H491">
        <v>89178</v>
      </c>
      <c r="I491">
        <v>24</v>
      </c>
      <c r="J491">
        <v>30.74</v>
      </c>
      <c r="K491">
        <v>5020.2299999999996</v>
      </c>
      <c r="L491" t="s">
        <v>24</v>
      </c>
      <c r="M491" t="s">
        <v>44</v>
      </c>
      <c r="N491" s="12">
        <v>45079</v>
      </c>
      <c r="O491" t="s">
        <v>1215</v>
      </c>
      <c r="P491">
        <v>291</v>
      </c>
      <c r="Q491">
        <v>369</v>
      </c>
      <c r="R491" t="s">
        <v>26</v>
      </c>
      <c r="S491">
        <v>0</v>
      </c>
      <c r="T491" s="10" t="s">
        <v>1276</v>
      </c>
      <c r="U491" s="23">
        <f>COUNTIF(Table1[Loan_Status],"Defaulted")/COUNTA(Table1[Loan_ID])</f>
        <v>0.248</v>
      </c>
    </row>
    <row r="492" spans="1:21" x14ac:dyDescent="0.3">
      <c r="A492" t="s">
        <v>1216</v>
      </c>
      <c r="B492" t="s">
        <v>1217</v>
      </c>
      <c r="C492">
        <v>54</v>
      </c>
      <c r="D492" t="s">
        <v>29</v>
      </c>
      <c r="E492" t="s">
        <v>22</v>
      </c>
      <c r="F492" t="s">
        <v>35</v>
      </c>
      <c r="G492">
        <v>60029</v>
      </c>
      <c r="H492">
        <v>477729</v>
      </c>
      <c r="I492">
        <v>24</v>
      </c>
      <c r="J492">
        <v>12.1</v>
      </c>
      <c r="K492">
        <v>22510.68</v>
      </c>
      <c r="L492" t="s">
        <v>43</v>
      </c>
      <c r="M492" t="s">
        <v>44</v>
      </c>
      <c r="N492" s="12">
        <v>45078</v>
      </c>
      <c r="O492" t="s">
        <v>1218</v>
      </c>
      <c r="P492">
        <v>362</v>
      </c>
      <c r="Q492">
        <v>786</v>
      </c>
      <c r="R492" t="s">
        <v>46</v>
      </c>
      <c r="S492">
        <v>0</v>
      </c>
      <c r="T492" s="10" t="s">
        <v>1276</v>
      </c>
      <c r="U492" s="23">
        <f>COUNTIF(Table1[Loan_Status],"Defaulted")/COUNTA(Table1[Loan_ID])</f>
        <v>0.248</v>
      </c>
    </row>
    <row r="493" spans="1:21" x14ac:dyDescent="0.3">
      <c r="A493" t="s">
        <v>1219</v>
      </c>
      <c r="B493" t="s">
        <v>1220</v>
      </c>
      <c r="C493">
        <v>49</v>
      </c>
      <c r="D493" t="s">
        <v>29</v>
      </c>
      <c r="E493" t="s">
        <v>22</v>
      </c>
      <c r="F493" t="s">
        <v>35</v>
      </c>
      <c r="G493">
        <v>114513</v>
      </c>
      <c r="H493">
        <v>227346</v>
      </c>
      <c r="I493">
        <v>6</v>
      </c>
      <c r="J493">
        <v>24.34</v>
      </c>
      <c r="K493">
        <v>40625.949999999997</v>
      </c>
      <c r="L493" t="s">
        <v>31</v>
      </c>
      <c r="M493" t="s">
        <v>25</v>
      </c>
      <c r="N493" s="12">
        <v>44883</v>
      </c>
      <c r="Q493">
        <v>426</v>
      </c>
      <c r="R493" t="s">
        <v>46</v>
      </c>
      <c r="S493">
        <v>0</v>
      </c>
      <c r="T493" s="10" t="s">
        <v>1269</v>
      </c>
      <c r="U493" s="23">
        <f>COUNTIF(Table1[Loan_Status],"Defaulted")/COUNTA(Table1[Loan_ID])</f>
        <v>0.248</v>
      </c>
    </row>
    <row r="494" spans="1:21" x14ac:dyDescent="0.3">
      <c r="A494" t="s">
        <v>1221</v>
      </c>
      <c r="B494" t="s">
        <v>1222</v>
      </c>
      <c r="C494">
        <v>29</v>
      </c>
      <c r="D494" t="s">
        <v>21</v>
      </c>
      <c r="E494" t="s">
        <v>42</v>
      </c>
      <c r="F494" t="s">
        <v>35</v>
      </c>
      <c r="G494">
        <v>25645</v>
      </c>
      <c r="H494">
        <v>48121</v>
      </c>
      <c r="I494">
        <v>12</v>
      </c>
      <c r="J494">
        <v>23.85</v>
      </c>
      <c r="K494">
        <v>4546.8100000000004</v>
      </c>
      <c r="L494" t="s">
        <v>31</v>
      </c>
      <c r="M494" t="s">
        <v>32</v>
      </c>
      <c r="N494" s="12">
        <v>45029</v>
      </c>
      <c r="Q494">
        <v>619</v>
      </c>
      <c r="R494" t="s">
        <v>26</v>
      </c>
      <c r="S494">
        <v>27955.06</v>
      </c>
      <c r="T494" s="10" t="s">
        <v>1278</v>
      </c>
      <c r="U494" s="23">
        <f>COUNTIF(Table1[Loan_Status],"Defaulted")/COUNTA(Table1[Loan_ID])</f>
        <v>0.248</v>
      </c>
    </row>
    <row r="495" spans="1:21" x14ac:dyDescent="0.3">
      <c r="A495" t="s">
        <v>1223</v>
      </c>
      <c r="B495" t="s">
        <v>1224</v>
      </c>
      <c r="C495">
        <v>35</v>
      </c>
      <c r="D495" t="s">
        <v>21</v>
      </c>
      <c r="E495" t="s">
        <v>42</v>
      </c>
      <c r="F495" t="s">
        <v>35</v>
      </c>
      <c r="G495">
        <v>64488</v>
      </c>
      <c r="H495">
        <v>454196</v>
      </c>
      <c r="I495">
        <v>3</v>
      </c>
      <c r="J495">
        <v>33.47</v>
      </c>
      <c r="K495">
        <v>159921.62</v>
      </c>
      <c r="L495" t="s">
        <v>31</v>
      </c>
      <c r="M495" t="s">
        <v>32</v>
      </c>
      <c r="N495" s="12">
        <v>44745</v>
      </c>
      <c r="Q495">
        <v>313</v>
      </c>
      <c r="R495" t="s">
        <v>26</v>
      </c>
      <c r="S495">
        <v>362950.9</v>
      </c>
      <c r="T495" s="10" t="s">
        <v>1281</v>
      </c>
      <c r="U495" s="23">
        <f>COUNTIF(Table1[Loan_Status],"Defaulted")/COUNTA(Table1[Loan_ID])</f>
        <v>0.248</v>
      </c>
    </row>
    <row r="496" spans="1:21" x14ac:dyDescent="0.3">
      <c r="A496" t="s">
        <v>1225</v>
      </c>
      <c r="B496" t="s">
        <v>1226</v>
      </c>
      <c r="C496">
        <v>27</v>
      </c>
      <c r="D496" t="s">
        <v>21</v>
      </c>
      <c r="E496" t="s">
        <v>68</v>
      </c>
      <c r="F496" t="s">
        <v>23</v>
      </c>
      <c r="G496">
        <v>46252</v>
      </c>
      <c r="H496">
        <v>80165</v>
      </c>
      <c r="I496">
        <v>18</v>
      </c>
      <c r="J496">
        <v>21.61</v>
      </c>
      <c r="K496">
        <v>5253.99</v>
      </c>
      <c r="L496" t="s">
        <v>24</v>
      </c>
      <c r="M496" t="s">
        <v>25</v>
      </c>
      <c r="N496" s="12">
        <v>44734</v>
      </c>
      <c r="Q496">
        <v>366</v>
      </c>
      <c r="R496" t="s">
        <v>46</v>
      </c>
      <c r="S496">
        <v>0</v>
      </c>
      <c r="T496" s="10" t="s">
        <v>1268</v>
      </c>
      <c r="U496" s="23">
        <f>COUNTIF(Table1[Loan_Status],"Defaulted")/COUNTA(Table1[Loan_ID])</f>
        <v>0.248</v>
      </c>
    </row>
    <row r="497" spans="1:21" x14ac:dyDescent="0.3">
      <c r="A497" t="s">
        <v>1227</v>
      </c>
      <c r="B497" t="s">
        <v>1228</v>
      </c>
      <c r="C497">
        <v>42</v>
      </c>
      <c r="D497" t="s">
        <v>29</v>
      </c>
      <c r="E497" t="s">
        <v>30</v>
      </c>
      <c r="F497" t="s">
        <v>35</v>
      </c>
      <c r="G497">
        <v>47181</v>
      </c>
      <c r="H497">
        <v>127090</v>
      </c>
      <c r="I497">
        <v>18</v>
      </c>
      <c r="J497">
        <v>29.4</v>
      </c>
      <c r="K497">
        <v>8816.24</v>
      </c>
      <c r="L497" t="s">
        <v>36</v>
      </c>
      <c r="M497" t="s">
        <v>32</v>
      </c>
      <c r="N497" s="12">
        <v>45221</v>
      </c>
      <c r="Q497">
        <v>709</v>
      </c>
      <c r="R497" t="s">
        <v>26</v>
      </c>
      <c r="S497">
        <v>44388.480000000003</v>
      </c>
      <c r="T497" s="10" t="s">
        <v>1279</v>
      </c>
      <c r="U497" s="23">
        <f>COUNTIF(Table1[Loan_Status],"Defaulted")/COUNTA(Table1[Loan_ID])</f>
        <v>0.248</v>
      </c>
    </row>
    <row r="498" spans="1:21" x14ac:dyDescent="0.3">
      <c r="A498" t="s">
        <v>1229</v>
      </c>
      <c r="B498" t="s">
        <v>1230</v>
      </c>
      <c r="C498">
        <v>52</v>
      </c>
      <c r="D498" t="s">
        <v>21</v>
      </c>
      <c r="E498" t="s">
        <v>22</v>
      </c>
      <c r="F498" t="s">
        <v>35</v>
      </c>
      <c r="G498">
        <v>43321</v>
      </c>
      <c r="H498">
        <v>69062</v>
      </c>
      <c r="I498">
        <v>12</v>
      </c>
      <c r="J498">
        <v>23.74</v>
      </c>
      <c r="K498">
        <v>6521.79</v>
      </c>
      <c r="L498" t="s">
        <v>39</v>
      </c>
      <c r="M498" t="s">
        <v>44</v>
      </c>
      <c r="N498" s="12">
        <v>44592</v>
      </c>
      <c r="O498" t="s">
        <v>364</v>
      </c>
      <c r="P498">
        <v>101</v>
      </c>
      <c r="Q498">
        <v>354</v>
      </c>
      <c r="R498" t="s">
        <v>46</v>
      </c>
      <c r="S498">
        <v>0</v>
      </c>
      <c r="T498" s="10" t="s">
        <v>1262</v>
      </c>
      <c r="U498" s="23">
        <f>COUNTIF(Table1[Loan_Status],"Defaulted")/COUNTA(Table1[Loan_ID])</f>
        <v>0.248</v>
      </c>
    </row>
    <row r="499" spans="1:21" x14ac:dyDescent="0.3">
      <c r="A499" t="s">
        <v>1231</v>
      </c>
      <c r="B499" t="s">
        <v>1232</v>
      </c>
      <c r="C499">
        <v>22</v>
      </c>
      <c r="D499" t="s">
        <v>29</v>
      </c>
      <c r="E499" t="s">
        <v>68</v>
      </c>
      <c r="F499" t="s">
        <v>35</v>
      </c>
      <c r="G499">
        <v>55038</v>
      </c>
      <c r="H499">
        <v>163729</v>
      </c>
      <c r="I499">
        <v>24</v>
      </c>
      <c r="J499">
        <v>26.96</v>
      </c>
      <c r="K499">
        <v>8900.2999999999993</v>
      </c>
      <c r="L499" t="s">
        <v>43</v>
      </c>
      <c r="M499" t="s">
        <v>54</v>
      </c>
      <c r="N499" s="12">
        <v>45039</v>
      </c>
      <c r="O499" t="s">
        <v>50</v>
      </c>
      <c r="P499">
        <v>103</v>
      </c>
      <c r="Q499">
        <v>600</v>
      </c>
      <c r="R499" t="s">
        <v>26</v>
      </c>
      <c r="S499">
        <v>0</v>
      </c>
      <c r="T499" s="10" t="s">
        <v>1278</v>
      </c>
      <c r="U499" s="23">
        <f>COUNTIF(Table1[Loan_Status],"Defaulted")/COUNTA(Table1[Loan_ID])</f>
        <v>0.248</v>
      </c>
    </row>
    <row r="500" spans="1:21" x14ac:dyDescent="0.3">
      <c r="A500" t="s">
        <v>1233</v>
      </c>
      <c r="B500" t="s">
        <v>1234</v>
      </c>
      <c r="C500">
        <v>52</v>
      </c>
      <c r="D500" t="s">
        <v>21</v>
      </c>
      <c r="E500" t="s">
        <v>30</v>
      </c>
      <c r="F500" t="s">
        <v>35</v>
      </c>
      <c r="G500">
        <v>19632</v>
      </c>
      <c r="H500">
        <v>405537</v>
      </c>
      <c r="I500">
        <v>3</v>
      </c>
      <c r="J500">
        <v>35.78</v>
      </c>
      <c r="K500">
        <v>143319.10999999999</v>
      </c>
      <c r="L500" t="s">
        <v>43</v>
      </c>
      <c r="M500" t="s">
        <v>54</v>
      </c>
      <c r="N500" s="12">
        <v>45022</v>
      </c>
      <c r="O500" t="s">
        <v>232</v>
      </c>
      <c r="P500">
        <v>161</v>
      </c>
      <c r="Q500">
        <v>685</v>
      </c>
      <c r="R500" t="s">
        <v>26</v>
      </c>
      <c r="S500">
        <v>0</v>
      </c>
      <c r="T500" s="10" t="s">
        <v>1278</v>
      </c>
      <c r="U500" s="23">
        <f>COUNTIF(Table1[Loan_Status],"Defaulted")/COUNTA(Table1[Loan_ID])</f>
        <v>0.248</v>
      </c>
    </row>
    <row r="501" spans="1:21" x14ac:dyDescent="0.3">
      <c r="A501" t="s">
        <v>1235</v>
      </c>
      <c r="B501" t="s">
        <v>1236</v>
      </c>
      <c r="C501">
        <v>50</v>
      </c>
      <c r="D501" t="s">
        <v>29</v>
      </c>
      <c r="E501" t="s">
        <v>49</v>
      </c>
      <c r="F501" t="s">
        <v>23</v>
      </c>
      <c r="G501">
        <v>94441</v>
      </c>
      <c r="H501">
        <v>468837</v>
      </c>
      <c r="I501">
        <v>6</v>
      </c>
      <c r="J501">
        <v>23.8</v>
      </c>
      <c r="K501">
        <v>83652.429999999993</v>
      </c>
      <c r="L501" t="s">
        <v>39</v>
      </c>
      <c r="M501" t="s">
        <v>32</v>
      </c>
      <c r="N501" s="12">
        <v>44960</v>
      </c>
      <c r="Q501">
        <v>799</v>
      </c>
      <c r="R501" t="s">
        <v>26</v>
      </c>
      <c r="S501">
        <v>297621.38</v>
      </c>
      <c r="T501" s="10" t="s">
        <v>1277</v>
      </c>
      <c r="U501" s="23">
        <f>COUNTIF(Table1[Loan_Status],"Defaulted")/COUNTA(Table1[Loan_ID])</f>
        <v>0.248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6CBB-01E7-4FAF-888B-35E07816749D}">
  <dimension ref="A1:I40"/>
  <sheetViews>
    <sheetView topLeftCell="A13" zoomScale="91" workbookViewId="0">
      <selection activeCell="A34" sqref="A34"/>
    </sheetView>
  </sheetViews>
  <sheetFormatPr defaultRowHeight="14.4" x14ac:dyDescent="0.3"/>
  <cols>
    <col min="1" max="1" width="13.33203125" bestFit="1" customWidth="1"/>
    <col min="2" max="2" width="16" bestFit="1" customWidth="1"/>
    <col min="3" max="3" width="19.77734375" bestFit="1" customWidth="1"/>
    <col min="4" max="4" width="23.88671875" bestFit="1" customWidth="1"/>
    <col min="5" max="5" width="22.109375" bestFit="1" customWidth="1"/>
    <col min="6" max="6" width="22.44140625" bestFit="1" customWidth="1"/>
    <col min="7" max="7" width="29.6640625" bestFit="1" customWidth="1"/>
    <col min="9" max="9" width="24.6640625" bestFit="1" customWidth="1"/>
  </cols>
  <sheetData>
    <row r="1" spans="1:3" ht="21" x14ac:dyDescent="0.3">
      <c r="A1" s="15" t="s">
        <v>1237</v>
      </c>
      <c r="B1" s="15" t="s">
        <v>1254</v>
      </c>
      <c r="C1" s="15" t="s">
        <v>1286</v>
      </c>
    </row>
    <row r="2" spans="1:3" x14ac:dyDescent="0.3">
      <c r="A2" s="14" t="s">
        <v>1238</v>
      </c>
      <c r="B2" s="2">
        <f>COUNTA('Raw Data'!A2:A501)</f>
        <v>500</v>
      </c>
      <c r="C2" s="2">
        <f>B2</f>
        <v>500</v>
      </c>
    </row>
    <row r="3" spans="1:3" x14ac:dyDescent="0.3">
      <c r="A3" s="14" t="s">
        <v>1239</v>
      </c>
      <c r="B3" s="4">
        <f>SUM('Raw Data'!H2:H501)</f>
        <v>121212530</v>
      </c>
      <c r="C3" s="4">
        <f t="shared" ref="C3:C17" si="0">B3</f>
        <v>121212530</v>
      </c>
    </row>
    <row r="4" spans="1:3" x14ac:dyDescent="0.3">
      <c r="A4" s="14" t="s">
        <v>1240</v>
      </c>
      <c r="B4" s="4">
        <f>SUM('Raw Data'!K2:K501)</f>
        <v>16397630.410000013</v>
      </c>
      <c r="C4" s="4">
        <f t="shared" si="0"/>
        <v>16397630.410000013</v>
      </c>
    </row>
    <row r="5" spans="1:3" x14ac:dyDescent="0.3">
      <c r="A5" s="14" t="s">
        <v>1241</v>
      </c>
      <c r="B5" s="2">
        <f>COUNTIF('Raw Data'!M2:M501,"Active")</f>
        <v>128</v>
      </c>
      <c r="C5" s="2">
        <f t="shared" si="0"/>
        <v>128</v>
      </c>
    </row>
    <row r="6" spans="1:3" x14ac:dyDescent="0.3">
      <c r="A6" s="14" t="s">
        <v>1242</v>
      </c>
      <c r="B6" s="2">
        <f>COUNTIF('Raw Data'!M2:M501,"Closed")</f>
        <v>127</v>
      </c>
      <c r="C6" s="2">
        <f t="shared" si="0"/>
        <v>127</v>
      </c>
    </row>
    <row r="7" spans="1:3" x14ac:dyDescent="0.3">
      <c r="A7" s="14" t="s">
        <v>1243</v>
      </c>
      <c r="B7" s="2">
        <f>COUNTIF('Raw Data'!M2:M501,"Defaulted")</f>
        <v>124</v>
      </c>
      <c r="C7" s="2">
        <f t="shared" si="0"/>
        <v>124</v>
      </c>
    </row>
    <row r="8" spans="1:3" x14ac:dyDescent="0.3">
      <c r="A8" s="14" t="s">
        <v>1244</v>
      </c>
      <c r="B8" s="2">
        <f>COUNTIF('Raw Data'!M2:M501,"Restructured")</f>
        <v>121</v>
      </c>
      <c r="C8" s="2">
        <f t="shared" si="0"/>
        <v>121</v>
      </c>
    </row>
    <row r="9" spans="1:3" x14ac:dyDescent="0.3">
      <c r="A9" s="14" t="s">
        <v>1245</v>
      </c>
      <c r="B9" s="5">
        <f>COUNTIF('Raw Data'!M2:M501,"Defaulted")/COUNTA('Raw Data'!A2:A501)</f>
        <v>0.248</v>
      </c>
      <c r="C9" s="5">
        <f t="shared" si="0"/>
        <v>0.248</v>
      </c>
    </row>
    <row r="10" spans="1:3" x14ac:dyDescent="0.3">
      <c r="A10" s="14" t="s">
        <v>1246</v>
      </c>
      <c r="B10" s="6">
        <f>AVERAGE('Raw Data'!H2:H501)</f>
        <v>242425.06</v>
      </c>
      <c r="C10" s="6">
        <f t="shared" si="0"/>
        <v>242425.06</v>
      </c>
    </row>
    <row r="11" spans="1:3" x14ac:dyDescent="0.3">
      <c r="A11" s="14" t="s">
        <v>1247</v>
      </c>
      <c r="B11" s="6">
        <f>AVERAGE('Raw Data'!K2:K501)</f>
        <v>32795.260820000025</v>
      </c>
      <c r="C11" s="6">
        <f t="shared" si="0"/>
        <v>32795.260820000025</v>
      </c>
    </row>
    <row r="12" spans="1:3" x14ac:dyDescent="0.3">
      <c r="A12" s="14" t="s">
        <v>1248</v>
      </c>
      <c r="B12" s="2">
        <f>AVERAGE('Raw Data'!Q2:Q501)</f>
        <v>573.4</v>
      </c>
      <c r="C12" s="2">
        <f t="shared" si="0"/>
        <v>573.4</v>
      </c>
    </row>
    <row r="13" spans="1:3" x14ac:dyDescent="0.3">
      <c r="A13" s="14" t="s">
        <v>1249</v>
      </c>
      <c r="B13" s="5">
        <f>AVERAGE('Raw Data'!J2:J501)/100</f>
        <v>0.2417106</v>
      </c>
      <c r="C13" s="5">
        <f t="shared" si="0"/>
        <v>0.2417106</v>
      </c>
    </row>
    <row r="14" spans="1:3" x14ac:dyDescent="0.3">
      <c r="A14" s="14" t="s">
        <v>1250</v>
      </c>
      <c r="B14" s="2">
        <f>AVERAGE('Raw Data'!I2:I501)</f>
        <v>13.29</v>
      </c>
      <c r="C14" s="2">
        <f t="shared" si="0"/>
        <v>13.29</v>
      </c>
    </row>
    <row r="15" spans="1:3" x14ac:dyDescent="0.3">
      <c r="A15" s="14" t="s">
        <v>1251</v>
      </c>
      <c r="B15" s="6">
        <f>SUM('Raw Data'!S2:S501)</f>
        <v>14439287.559999999</v>
      </c>
      <c r="C15" s="6">
        <f t="shared" si="0"/>
        <v>14439287.559999999</v>
      </c>
    </row>
    <row r="16" spans="1:3" x14ac:dyDescent="0.3">
      <c r="A16" s="14" t="s">
        <v>1252</v>
      </c>
      <c r="B16" s="5">
        <f>SUM('Raw Data'!S2:S501)/SUMIF('Raw Data'!M2:M501,"Defaulted",'Raw Data'!H2:H501)</f>
        <v>0.46945936680722095</v>
      </c>
      <c r="C16" s="5">
        <f t="shared" si="0"/>
        <v>0.46945936680722095</v>
      </c>
    </row>
    <row r="17" spans="1:9" x14ac:dyDescent="0.3">
      <c r="A17" s="14" t="s">
        <v>1253</v>
      </c>
      <c r="B17" s="2">
        <f>COUNTIF('Raw Data'!R2:R501,"Yes")</f>
        <v>280</v>
      </c>
      <c r="C17" s="2">
        <f t="shared" si="0"/>
        <v>280</v>
      </c>
    </row>
    <row r="20" spans="1:9" x14ac:dyDescent="0.3">
      <c r="A20" s="18" t="s">
        <v>1297</v>
      </c>
      <c r="B20" s="18" t="s">
        <v>1288</v>
      </c>
      <c r="C20" s="18" t="s">
        <v>1289</v>
      </c>
      <c r="D20" s="18" t="s">
        <v>1291</v>
      </c>
      <c r="E20" s="18" t="s">
        <v>1293</v>
      </c>
      <c r="F20" s="21" t="s">
        <v>1296</v>
      </c>
    </row>
    <row r="21" spans="1:9" x14ac:dyDescent="0.3">
      <c r="A21" s="2" t="s">
        <v>1257</v>
      </c>
      <c r="B21" s="2" t="s">
        <v>1258</v>
      </c>
      <c r="C21" s="2" t="s">
        <v>1287</v>
      </c>
      <c r="D21" s="2" t="s">
        <v>1290</v>
      </c>
      <c r="E21" s="2" t="s">
        <v>1292</v>
      </c>
      <c r="F21" s="2" t="s">
        <v>1295</v>
      </c>
    </row>
    <row r="22" spans="1:9" x14ac:dyDescent="0.3">
      <c r="A22" s="19">
        <v>500</v>
      </c>
      <c r="B22" s="25">
        <v>121212530</v>
      </c>
      <c r="C22" s="25">
        <v>14439287.559999999</v>
      </c>
      <c r="D22" s="19">
        <v>573.4</v>
      </c>
      <c r="E22" s="27">
        <v>32795.260820000025</v>
      </c>
      <c r="F22" s="26">
        <v>0.24800000000000175</v>
      </c>
    </row>
    <row r="23" spans="1:9" x14ac:dyDescent="0.3">
      <c r="A23" s="29">
        <f>GETPIVOTDATA("Count of Loan_ID",$A$21)</f>
        <v>500</v>
      </c>
      <c r="B23" s="30">
        <f>GETPIVOTDATA("Sum of Loan_Amount",$A$21)</f>
        <v>121212530</v>
      </c>
      <c r="C23" s="30">
        <f>GETPIVOTDATA("Sum of Recovery_Amount",$A$21)</f>
        <v>14439287.559999999</v>
      </c>
      <c r="D23" s="29">
        <f>GETPIVOTDATA("Average of Credit_Score",$A$21)</f>
        <v>573.4</v>
      </c>
      <c r="E23" s="31">
        <f>GETPIVOTDATA("Average of EMI_Amount",$A$21)</f>
        <v>32795.260820000025</v>
      </c>
      <c r="F23" s="32">
        <f>GETPIVOTDATA("Average of Default Interest Rate",$A$21)</f>
        <v>0.24800000000000175</v>
      </c>
    </row>
    <row r="24" spans="1:9" x14ac:dyDescent="0.3">
      <c r="A24" s="29"/>
      <c r="B24" s="30"/>
      <c r="C24" s="30"/>
      <c r="D24" s="29"/>
      <c r="E24" s="31"/>
      <c r="F24" s="32"/>
    </row>
    <row r="26" spans="1:9" x14ac:dyDescent="0.3">
      <c r="A26" s="28" t="s">
        <v>1300</v>
      </c>
    </row>
    <row r="27" spans="1:9" x14ac:dyDescent="0.3">
      <c r="B27" s="18" t="s">
        <v>1297</v>
      </c>
      <c r="C27" s="18" t="s">
        <v>1288</v>
      </c>
      <c r="D27" s="18" t="s">
        <v>1289</v>
      </c>
      <c r="E27" s="18" t="s">
        <v>1291</v>
      </c>
      <c r="F27" s="18" t="s">
        <v>1293</v>
      </c>
      <c r="G27" s="21" t="s">
        <v>1296</v>
      </c>
    </row>
    <row r="28" spans="1:9" x14ac:dyDescent="0.3">
      <c r="A28" s="20" t="s">
        <v>1255</v>
      </c>
      <c r="B28" s="2" t="s">
        <v>1257</v>
      </c>
      <c r="C28" s="2" t="s">
        <v>1258</v>
      </c>
      <c r="D28" s="2" t="s">
        <v>1287</v>
      </c>
      <c r="E28" s="2" t="s">
        <v>1290</v>
      </c>
      <c r="F28" s="2" t="s">
        <v>1292</v>
      </c>
      <c r="G28" s="2" t="s">
        <v>1295</v>
      </c>
      <c r="I28" s="17" t="s">
        <v>1302</v>
      </c>
    </row>
    <row r="29" spans="1:9" x14ac:dyDescent="0.3">
      <c r="A29" s="33" t="s">
        <v>1299</v>
      </c>
      <c r="B29" s="19">
        <v>36</v>
      </c>
      <c r="C29" s="25">
        <v>7799479</v>
      </c>
      <c r="D29" s="25">
        <v>1001646.9099999999</v>
      </c>
      <c r="E29" s="34">
        <v>514.66666666666663</v>
      </c>
      <c r="F29" s="27">
        <v>38760.603333333333</v>
      </c>
      <c r="G29" s="26">
        <v>0.24800000000000008</v>
      </c>
    </row>
    <row r="30" spans="1:9" x14ac:dyDescent="0.3">
      <c r="A30" t="str">
        <f>A29</f>
        <v>Dec</v>
      </c>
      <c r="B30" s="19">
        <f>GETPIVOTDATA("Count of Loan_ID",$A$28,"Months (Disbursement_Date)",12)</f>
        <v>36</v>
      </c>
      <c r="C30" s="25">
        <f>GETPIVOTDATA("Sum of Loan_Amount",$A$28,"Months (Disbursement_Date)",12)</f>
        <v>7799479</v>
      </c>
      <c r="D30" s="25">
        <f>GETPIVOTDATA("Sum of Recovery_Amount",$A$28,"Months (Disbursement_Date)",12)</f>
        <v>1001646.9099999999</v>
      </c>
      <c r="E30" s="34">
        <f>GETPIVOTDATA("Average of Credit_Score",$A$28,"Months (Disbursement_Date)",12)</f>
        <v>514.66666666666663</v>
      </c>
      <c r="F30" s="27">
        <f>GETPIVOTDATA("Average of EMI_Amount",$A$28,"Months (Disbursement_Date)",12)</f>
        <v>38760.603333333333</v>
      </c>
      <c r="G30" s="26">
        <f>GETPIVOTDATA("Average of Default Interest Rate",$A$28,"Months (Disbursement_Date)",12)</f>
        <v>0.24800000000000008</v>
      </c>
    </row>
    <row r="32" spans="1:9" x14ac:dyDescent="0.3">
      <c r="A32" s="28" t="s">
        <v>1301</v>
      </c>
    </row>
    <row r="33" spans="1:7" x14ac:dyDescent="0.3">
      <c r="B33" s="18" t="s">
        <v>1297</v>
      </c>
      <c r="C33" s="18" t="s">
        <v>1288</v>
      </c>
      <c r="D33" s="18" t="s">
        <v>1289</v>
      </c>
      <c r="E33" s="18" t="s">
        <v>1291</v>
      </c>
      <c r="F33" s="18" t="s">
        <v>1293</v>
      </c>
      <c r="G33" s="21" t="s">
        <v>1296</v>
      </c>
    </row>
    <row r="34" spans="1:7" x14ac:dyDescent="0.3">
      <c r="A34" s="20" t="s">
        <v>1255</v>
      </c>
      <c r="B34" s="2" t="s">
        <v>1257</v>
      </c>
      <c r="C34" s="2" t="s">
        <v>1258</v>
      </c>
      <c r="D34" s="2" t="s">
        <v>1287</v>
      </c>
      <c r="E34" s="2" t="s">
        <v>1290</v>
      </c>
      <c r="F34" s="2" t="s">
        <v>1292</v>
      </c>
      <c r="G34" s="2" t="s">
        <v>1295</v>
      </c>
    </row>
    <row r="35" spans="1:7" x14ac:dyDescent="0.3">
      <c r="A35" s="33" t="s">
        <v>1298</v>
      </c>
      <c r="B35" s="19">
        <v>51</v>
      </c>
      <c r="C35" s="25">
        <v>12472037</v>
      </c>
      <c r="D35" s="25">
        <v>1031337.5300000001</v>
      </c>
      <c r="E35" s="34">
        <v>543.74509803921569</v>
      </c>
      <c r="F35" s="27">
        <v>25055.157450980387</v>
      </c>
      <c r="G35" s="26">
        <v>0.24799999999999986</v>
      </c>
    </row>
    <row r="36" spans="1:7" x14ac:dyDescent="0.3">
      <c r="B36" s="19">
        <f>GETPIVOTDATA("Count of Loan_ID",$A$34,"Months (Disbursement_Date)",11)</f>
        <v>51</v>
      </c>
      <c r="C36" s="25">
        <f>GETPIVOTDATA("Sum of Loan_Amount",$A$34,"Months (Disbursement_Date)",11)</f>
        <v>12472037</v>
      </c>
      <c r="D36" s="25">
        <f>GETPIVOTDATA("Sum of Recovery_Amount",$A$34,"Months (Disbursement_Date)",11)</f>
        <v>1031337.5300000001</v>
      </c>
      <c r="E36" s="34">
        <f>GETPIVOTDATA("Average of Credit_Score",$A$34,"Months (Disbursement_Date)",11)</f>
        <v>543.74509803921569</v>
      </c>
      <c r="F36" s="27">
        <f>GETPIVOTDATA("Average of EMI_Amount",$A$34,"Months (Disbursement_Date)",11)</f>
        <v>25055.157450980387</v>
      </c>
      <c r="G36" s="26">
        <f>GETPIVOTDATA("Average of Default Interest Rate",$A$34,"Months (Disbursement_Date)",11)</f>
        <v>0.24799999999999986</v>
      </c>
    </row>
    <row r="38" spans="1:7" x14ac:dyDescent="0.3">
      <c r="A38" s="28" t="s">
        <v>1303</v>
      </c>
    </row>
    <row r="39" spans="1:7" x14ac:dyDescent="0.3">
      <c r="B39" s="18" t="s">
        <v>1297</v>
      </c>
      <c r="C39" s="18" t="s">
        <v>1288</v>
      </c>
      <c r="D39" s="18" t="s">
        <v>1289</v>
      </c>
      <c r="E39" s="18" t="s">
        <v>1291</v>
      </c>
      <c r="F39" s="18" t="s">
        <v>1293</v>
      </c>
      <c r="G39" s="18" t="s">
        <v>1296</v>
      </c>
    </row>
    <row r="40" spans="1:7" x14ac:dyDescent="0.3">
      <c r="B40" s="24">
        <f>(GETPIVOTDATA("Count of Loan_ID",$A$28,"Months (Disbursement_Date)",12)-GETPIVOTDATA("Count of Loan_ID",$A$34,"Months (Disbursement_Date)",11))/GETPIVOTDATA("Count of Loan_ID",$A$34,"Months (Disbursement_Date)",11)</f>
        <v>-0.29411764705882354</v>
      </c>
      <c r="C40" s="24">
        <f>(GETPIVOTDATA("Sum of Loan_Amount",$A$28,"Months (Disbursement_Date)",12)-GETPIVOTDATA("Sum of Loan_Amount",$A$34,"Months (Disbursement_Date)",11))/GETPIVOTDATA("Sum of Loan_Amount",$A$34,"Months (Disbursement_Date)",11)</f>
        <v>-0.3746427307744517</v>
      </c>
      <c r="D40" s="24">
        <f>(GETPIVOTDATA("Sum of Recovery_Amount",$A$28,"Months (Disbursement_Date)",12)-GETPIVOTDATA("Sum of Recovery_Amount",$A$34,"Months (Disbursement_Date)",11))/GETPIVOTDATA("Sum of Recovery_Amount",$A$34,"Months (Disbursement_Date)",11)</f>
        <v>-2.8788460747666406E-2</v>
      </c>
      <c r="E40" s="24">
        <f>(GETPIVOTDATA("Average of Credit_Score",$A$28,"Months (Disbursement_Date)",12)-GETPIVOTDATA("Average of Credit_Score",$A$34,"Months (Disbursement_Date)",11))/GETPIVOTDATA("Average of Credit_Score",$A$34,"Months (Disbursement_Date)",11)</f>
        <v>-5.3478057048069023E-2</v>
      </c>
      <c r="F40" s="24">
        <f>(GETPIVOTDATA("Average of EMI_Amount",$A$28,"Months (Disbursement_Date)",12)-GETPIVOTDATA("Average of EMI_Amount",$A$34,"Months (Disbursement_Date)",11))/GETPIVOTDATA("Average of EMI_Amount",$A$34,"Months (Disbursement_Date)",11)</f>
        <v>0.54701096607224331</v>
      </c>
      <c r="G40" s="24">
        <v>0.24799999999999986</v>
      </c>
    </row>
  </sheetData>
  <conditionalFormatting sqref="B40:G40">
    <cfRule type="iconSet" priority="1">
      <iconSet iconSet="3Signs">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59C76-1C2B-43AB-ACC0-0FBFF9480E90}">
  <dimension ref="A1:F60"/>
  <sheetViews>
    <sheetView topLeftCell="A40" zoomScale="155" workbookViewId="0">
      <selection activeCell="A35" sqref="A35"/>
    </sheetView>
  </sheetViews>
  <sheetFormatPr defaultRowHeight="14.4" x14ac:dyDescent="0.3"/>
  <cols>
    <col min="1" max="1" width="20.21875" bestFit="1" customWidth="1"/>
    <col min="2" max="2" width="19.6640625" bestFit="1" customWidth="1"/>
    <col min="3" max="6" width="9" bestFit="1" customWidth="1"/>
  </cols>
  <sheetData>
    <row r="1" spans="1:2" x14ac:dyDescent="0.3">
      <c r="A1" s="7" t="s">
        <v>1255</v>
      </c>
      <c r="B1" t="s">
        <v>1257</v>
      </c>
    </row>
    <row r="2" spans="1:2" x14ac:dyDescent="0.3">
      <c r="A2" s="8" t="s">
        <v>25</v>
      </c>
      <c r="B2" s="16">
        <v>128</v>
      </c>
    </row>
    <row r="3" spans="1:2" x14ac:dyDescent="0.3">
      <c r="A3" s="8" t="s">
        <v>44</v>
      </c>
      <c r="B3" s="16">
        <v>127</v>
      </c>
    </row>
    <row r="4" spans="1:2" x14ac:dyDescent="0.3">
      <c r="A4" s="8" t="s">
        <v>32</v>
      </c>
      <c r="B4" s="16">
        <v>124</v>
      </c>
    </row>
    <row r="5" spans="1:2" x14ac:dyDescent="0.3">
      <c r="A5" s="8" t="s">
        <v>54</v>
      </c>
      <c r="B5" s="16">
        <v>121</v>
      </c>
    </row>
    <row r="6" spans="1:2" x14ac:dyDescent="0.3">
      <c r="A6" s="8" t="s">
        <v>1256</v>
      </c>
      <c r="B6" s="16">
        <v>500</v>
      </c>
    </row>
    <row r="10" spans="1:2" x14ac:dyDescent="0.3">
      <c r="A10" s="7" t="s">
        <v>1255</v>
      </c>
      <c r="B10" t="s">
        <v>1258</v>
      </c>
    </row>
    <row r="11" spans="1:2" x14ac:dyDescent="0.3">
      <c r="A11" s="8" t="s">
        <v>24</v>
      </c>
      <c r="B11" s="3">
        <v>27542872</v>
      </c>
    </row>
    <row r="12" spans="1:2" x14ac:dyDescent="0.3">
      <c r="A12" s="8" t="s">
        <v>43</v>
      </c>
      <c r="B12" s="3">
        <v>26056082</v>
      </c>
    </row>
    <row r="13" spans="1:2" x14ac:dyDescent="0.3">
      <c r="A13" s="8" t="s">
        <v>36</v>
      </c>
      <c r="B13" s="3">
        <v>24263898</v>
      </c>
    </row>
    <row r="14" spans="1:2" x14ac:dyDescent="0.3">
      <c r="A14" s="8" t="s">
        <v>39</v>
      </c>
      <c r="B14" s="3">
        <v>23346728</v>
      </c>
    </row>
    <row r="15" spans="1:2" x14ac:dyDescent="0.3">
      <c r="A15" s="8" t="s">
        <v>31</v>
      </c>
      <c r="B15" s="3">
        <v>20002950</v>
      </c>
    </row>
    <row r="16" spans="1:2" x14ac:dyDescent="0.3">
      <c r="A16" s="8" t="s">
        <v>1256</v>
      </c>
      <c r="B16" s="3">
        <v>121212530</v>
      </c>
    </row>
    <row r="19" spans="1:6" x14ac:dyDescent="0.3">
      <c r="A19" s="7" t="s">
        <v>12</v>
      </c>
      <c r="B19" t="s">
        <v>1304</v>
      </c>
    </row>
    <row r="21" spans="1:6" x14ac:dyDescent="0.3">
      <c r="A21" s="7" t="s">
        <v>1255</v>
      </c>
      <c r="B21" t="s">
        <v>1257</v>
      </c>
    </row>
    <row r="22" spans="1:6" x14ac:dyDescent="0.3">
      <c r="A22" s="8" t="s">
        <v>68</v>
      </c>
      <c r="B22" s="16">
        <v>108</v>
      </c>
    </row>
    <row r="23" spans="1:6" x14ac:dyDescent="0.3">
      <c r="A23" s="8" t="s">
        <v>42</v>
      </c>
      <c r="B23" s="16">
        <v>106</v>
      </c>
    </row>
    <row r="24" spans="1:6" x14ac:dyDescent="0.3">
      <c r="A24" s="8" t="s">
        <v>30</v>
      </c>
      <c r="B24" s="16">
        <v>100</v>
      </c>
    </row>
    <row r="25" spans="1:6" x14ac:dyDescent="0.3">
      <c r="A25" s="8" t="s">
        <v>49</v>
      </c>
      <c r="B25" s="16">
        <v>97</v>
      </c>
    </row>
    <row r="26" spans="1:6" x14ac:dyDescent="0.3">
      <c r="A26" s="8" t="s">
        <v>22</v>
      </c>
      <c r="B26" s="16">
        <v>89</v>
      </c>
    </row>
    <row r="29" spans="1:6" x14ac:dyDescent="0.3">
      <c r="A29" s="7" t="s">
        <v>1258</v>
      </c>
      <c r="B29" s="7" t="s">
        <v>1260</v>
      </c>
    </row>
    <row r="30" spans="1:6" x14ac:dyDescent="0.3">
      <c r="A30" s="7" t="s">
        <v>1255</v>
      </c>
      <c r="B30">
        <v>3</v>
      </c>
      <c r="C30">
        <v>6</v>
      </c>
      <c r="D30">
        <v>12</v>
      </c>
      <c r="E30">
        <v>18</v>
      </c>
      <c r="F30">
        <v>24</v>
      </c>
    </row>
    <row r="31" spans="1:6" x14ac:dyDescent="0.3">
      <c r="A31" s="8" t="s">
        <v>23</v>
      </c>
      <c r="B31" s="16">
        <v>11067930</v>
      </c>
      <c r="C31" s="16">
        <v>11640202</v>
      </c>
      <c r="D31" s="16">
        <v>11187171</v>
      </c>
      <c r="E31" s="16">
        <v>13268344</v>
      </c>
      <c r="F31" s="16">
        <v>14364706</v>
      </c>
    </row>
    <row r="32" spans="1:6" x14ac:dyDescent="0.3">
      <c r="A32" s="8" t="s">
        <v>35</v>
      </c>
      <c r="B32" s="16">
        <v>8692861</v>
      </c>
      <c r="C32" s="16">
        <v>11075457</v>
      </c>
      <c r="D32" s="16">
        <v>11103937</v>
      </c>
      <c r="E32" s="16">
        <v>13932716</v>
      </c>
      <c r="F32" s="16">
        <v>14879206</v>
      </c>
    </row>
    <row r="35" spans="1:2" x14ac:dyDescent="0.3">
      <c r="A35" s="7" t="s">
        <v>1259</v>
      </c>
      <c r="B35" t="s">
        <v>1258</v>
      </c>
    </row>
    <row r="36" spans="1:2" x14ac:dyDescent="0.3">
      <c r="A36" t="s">
        <v>1274</v>
      </c>
      <c r="B36" s="16">
        <v>5427241</v>
      </c>
    </row>
    <row r="37" spans="1:2" x14ac:dyDescent="0.3">
      <c r="A37" t="s">
        <v>1278</v>
      </c>
      <c r="B37" s="16">
        <v>6141576</v>
      </c>
    </row>
    <row r="38" spans="1:2" x14ac:dyDescent="0.3">
      <c r="A38" t="s">
        <v>1275</v>
      </c>
      <c r="B38" s="16">
        <v>3451968</v>
      </c>
    </row>
    <row r="39" spans="1:2" x14ac:dyDescent="0.3">
      <c r="A39" t="s">
        <v>1261</v>
      </c>
      <c r="B39" s="16">
        <v>9371827</v>
      </c>
    </row>
    <row r="40" spans="1:2" x14ac:dyDescent="0.3">
      <c r="A40" t="s">
        <v>1280</v>
      </c>
      <c r="B40" s="16">
        <v>3404028</v>
      </c>
    </row>
    <row r="41" spans="1:2" x14ac:dyDescent="0.3">
      <c r="A41" t="s">
        <v>1282</v>
      </c>
      <c r="B41" s="16">
        <v>4395451</v>
      </c>
    </row>
    <row r="42" spans="1:2" x14ac:dyDescent="0.3">
      <c r="A42" t="s">
        <v>1263</v>
      </c>
      <c r="B42" s="16">
        <v>4338910</v>
      </c>
    </row>
    <row r="43" spans="1:2" x14ac:dyDescent="0.3">
      <c r="A43" t="s">
        <v>1277</v>
      </c>
      <c r="B43" s="16">
        <v>5852558</v>
      </c>
    </row>
    <row r="44" spans="1:2" x14ac:dyDescent="0.3">
      <c r="A44" t="s">
        <v>1262</v>
      </c>
      <c r="B44" s="16">
        <v>3062967</v>
      </c>
    </row>
    <row r="45" spans="1:2" x14ac:dyDescent="0.3">
      <c r="A45" t="s">
        <v>1266</v>
      </c>
      <c r="B45" s="16">
        <v>4208620</v>
      </c>
    </row>
    <row r="46" spans="1:2" x14ac:dyDescent="0.3">
      <c r="A46" t="s">
        <v>1281</v>
      </c>
      <c r="B46" s="16">
        <v>4163921</v>
      </c>
    </row>
    <row r="47" spans="1:2" x14ac:dyDescent="0.3">
      <c r="A47" t="s">
        <v>1265</v>
      </c>
      <c r="B47" s="16">
        <v>4331510</v>
      </c>
    </row>
    <row r="48" spans="1:2" x14ac:dyDescent="0.3">
      <c r="A48" t="s">
        <v>1268</v>
      </c>
      <c r="B48" s="16">
        <v>4496488</v>
      </c>
    </row>
    <row r="49" spans="1:2" x14ac:dyDescent="0.3">
      <c r="A49" t="s">
        <v>1276</v>
      </c>
      <c r="B49" s="16">
        <v>4636739</v>
      </c>
    </row>
    <row r="50" spans="1:2" x14ac:dyDescent="0.3">
      <c r="A50" t="s">
        <v>1264</v>
      </c>
      <c r="B50" s="16">
        <v>5058071</v>
      </c>
    </row>
    <row r="51" spans="1:2" x14ac:dyDescent="0.3">
      <c r="A51" t="s">
        <v>1271</v>
      </c>
      <c r="B51" s="16">
        <v>5841676</v>
      </c>
    </row>
    <row r="52" spans="1:2" x14ac:dyDescent="0.3">
      <c r="A52" t="s">
        <v>1272</v>
      </c>
      <c r="B52" s="16">
        <v>5085078</v>
      </c>
    </row>
    <row r="53" spans="1:2" x14ac:dyDescent="0.3">
      <c r="A53" t="s">
        <v>1283</v>
      </c>
      <c r="B53" s="16">
        <v>2980725</v>
      </c>
    </row>
    <row r="54" spans="1:2" x14ac:dyDescent="0.3">
      <c r="A54" t="s">
        <v>1269</v>
      </c>
      <c r="B54" s="16">
        <v>5765954</v>
      </c>
    </row>
    <row r="55" spans="1:2" x14ac:dyDescent="0.3">
      <c r="A55" t="s">
        <v>1273</v>
      </c>
      <c r="B55" s="16">
        <v>6706083</v>
      </c>
    </row>
    <row r="56" spans="1:2" x14ac:dyDescent="0.3">
      <c r="A56" t="s">
        <v>1267</v>
      </c>
      <c r="B56" s="16">
        <v>5190505</v>
      </c>
    </row>
    <row r="57" spans="1:2" x14ac:dyDescent="0.3">
      <c r="A57" t="s">
        <v>1279</v>
      </c>
      <c r="B57" s="16">
        <v>8867146</v>
      </c>
    </row>
    <row r="58" spans="1:2" x14ac:dyDescent="0.3">
      <c r="A58" t="s">
        <v>1270</v>
      </c>
      <c r="B58" s="16">
        <v>4555826</v>
      </c>
    </row>
    <row r="59" spans="1:2" x14ac:dyDescent="0.3">
      <c r="A59" t="s">
        <v>1284</v>
      </c>
      <c r="B59" s="16">
        <v>3877662</v>
      </c>
    </row>
    <row r="60" spans="1:2" x14ac:dyDescent="0.3">
      <c r="A60" t="s">
        <v>1256</v>
      </c>
      <c r="B60" s="16">
        <v>121212530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FD52-74BB-42BE-AACE-9A98B0CF8730}">
  <dimension ref="A1"/>
  <sheetViews>
    <sheetView zoomScale="60" workbookViewId="0">
      <selection activeCell="AA35" sqref="AA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8B140-FFDE-4AC6-9E8C-955ACEFC1C82}">
  <dimension ref="A1:AB25"/>
  <sheetViews>
    <sheetView showGridLines="0" tabSelected="1" zoomScale="66" workbookViewId="0">
      <selection activeCell="AH14" sqref="AH14"/>
    </sheetView>
  </sheetViews>
  <sheetFormatPr defaultRowHeight="14.4" x14ac:dyDescent="0.3"/>
  <cols>
    <col min="1" max="1" width="2.33203125" style="36" customWidth="1"/>
    <col min="2" max="16384" width="8.88671875" style="36"/>
  </cols>
  <sheetData>
    <row r="1" spans="1:28" ht="7.05" customHeight="1"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ht="39.6" customHeight="1" x14ac:dyDescent="0.55000000000000004">
      <c r="B2" s="35" t="s">
        <v>1285</v>
      </c>
      <c r="C2" s="35"/>
      <c r="D2" s="35"/>
      <c r="E2" s="35"/>
      <c r="F2" s="35"/>
      <c r="G2" s="35"/>
      <c r="H2" s="35"/>
      <c r="I2" s="35"/>
      <c r="J2" s="35"/>
      <c r="K2" s="35"/>
      <c r="L2" s="35"/>
      <c r="M2" s="35"/>
      <c r="N2" s="35"/>
      <c r="O2" s="35"/>
      <c r="P2" s="35"/>
      <c r="Q2" s="35"/>
      <c r="R2" s="35"/>
      <c r="S2" s="35"/>
      <c r="T2" s="35"/>
      <c r="U2" s="35"/>
      <c r="V2" s="35"/>
      <c r="W2" s="35"/>
      <c r="X2" s="35"/>
      <c r="Y2" s="35"/>
      <c r="Z2" s="35"/>
      <c r="AA2" s="35"/>
      <c r="AB2" s="35"/>
    </row>
    <row r="3" spans="1:28" ht="4.0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10" spans="1:28" ht="0.45" customHeight="1" x14ac:dyDescent="0.3"/>
    <row r="11" spans="1:28" ht="25.05" customHeight="1" x14ac:dyDescent="0.3"/>
    <row r="12" spans="1:28" ht="0.75" customHeight="1" x14ac:dyDescent="0.3"/>
    <row r="25" spans="6:16" ht="16.8" x14ac:dyDescent="0.4">
      <c r="F25" s="37"/>
      <c r="P25" s="38"/>
    </row>
  </sheetData>
  <mergeCells count="1">
    <mergeCell ref="B2:AB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KPI</vt:lpstr>
      <vt:lpstr>Pivot Tables</vt:lpstr>
      <vt:lpstr>Charts</vt:lpstr>
      <vt:lpstr>DashBoard 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Tabrez Khan</cp:lastModifiedBy>
  <dcterms:created xsi:type="dcterms:W3CDTF">2026-06-23T16:31:22Z</dcterms:created>
  <dcterms:modified xsi:type="dcterms:W3CDTF">2026-06-25T16:02:45Z</dcterms:modified>
</cp:coreProperties>
</file>